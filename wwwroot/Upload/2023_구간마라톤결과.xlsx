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4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구간마라톤\"/>
    </mc:Choice>
  </mc:AlternateContent>
  <bookViews>
    <workbookView xWindow="-105" yWindow="-105" windowWidth="23250" windowHeight="12570" firstSheet="2" activeTab="3"/>
  </bookViews>
  <sheets>
    <sheet name="종합등위분류1" sheetId="1" state="hidden" r:id="rId1"/>
    <sheet name="도교육청요청자료1" sheetId="2" state="hidden" r:id="rId2"/>
    <sheet name="초등부" sheetId="3" r:id="rId3"/>
    <sheet name="중등부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Print_Area" localSheetId="1">도교육청요청자료1!$A$1:$P$28</definedName>
    <definedName name="_xlnm.Print_Area" localSheetId="0">종합등위분류1!$A$1:$N$27</definedName>
    <definedName name="_xlnm.Print_Area" localSheetId="3">중등부!$A$1:$Z$90</definedName>
    <definedName name="_xlnm.Print_Area" localSheetId="2">초등부!$A$1:$Z$89</definedName>
    <definedName name="_xlnm.Print_Titles" localSheetId="3">중등부!$1:$2</definedName>
    <definedName name="_xlnm.Print_Titles" localSheetId="2">초등부!$1:$2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2" l="1"/>
  <c r="M27" i="2" s="1"/>
  <c r="H27" i="2"/>
  <c r="B3" i="1"/>
  <c r="C3" i="1"/>
  <c r="M13" i="1" s="1"/>
  <c r="N13" i="1" s="1"/>
  <c r="D3" i="1"/>
  <c r="E3" i="1"/>
  <c r="F3" i="1"/>
  <c r="G3" i="1"/>
  <c r="H3" i="1"/>
  <c r="I3" i="1"/>
  <c r="B4" i="1"/>
  <c r="C4" i="1"/>
  <c r="D4" i="1"/>
  <c r="E4" i="1"/>
  <c r="F4" i="1"/>
  <c r="G4" i="1"/>
  <c r="H4" i="1"/>
  <c r="I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D27" i="1"/>
  <c r="M27" i="1" s="1"/>
  <c r="H27" i="1"/>
  <c r="M14" i="1" l="1"/>
  <c r="M3" i="1"/>
  <c r="N3" i="1"/>
  <c r="N14" i="1"/>
  <c r="M21" i="1"/>
  <c r="M9" i="1"/>
  <c r="M20" i="1"/>
  <c r="M8" i="1"/>
  <c r="M22" i="1"/>
  <c r="M10" i="1"/>
  <c r="M23" i="1"/>
  <c r="M11" i="1"/>
  <c r="M24" i="1"/>
  <c r="M12" i="1"/>
  <c r="M16" i="1"/>
  <c r="M4" i="1"/>
  <c r="M17" i="1"/>
  <c r="M5" i="1"/>
  <c r="M18" i="1"/>
  <c r="M6" i="1"/>
  <c r="M15" i="1"/>
  <c r="M19" i="1"/>
  <c r="M7" i="1"/>
  <c r="K14" i="1" l="1"/>
  <c r="K23" i="1"/>
  <c r="N23" i="1"/>
  <c r="K24" i="1"/>
  <c r="N24" i="1"/>
  <c r="K5" i="1"/>
  <c r="N5" i="1"/>
  <c r="N8" i="1"/>
  <c r="K8" i="1"/>
  <c r="K15" i="1"/>
  <c r="N15" i="1"/>
  <c r="K17" i="1"/>
  <c r="N17" i="1"/>
  <c r="N20" i="1"/>
  <c r="K20" i="1"/>
  <c r="K12" i="1"/>
  <c r="N12" i="1"/>
  <c r="N4" i="1"/>
  <c r="K4" i="1"/>
  <c r="K16" i="1"/>
  <c r="N16" i="1"/>
  <c r="K13" i="1"/>
  <c r="K11" i="1"/>
  <c r="N11" i="1"/>
  <c r="K10" i="1"/>
  <c r="N10" i="1"/>
  <c r="K3" i="1"/>
  <c r="K22" i="1"/>
  <c r="N22" i="1"/>
  <c r="K9" i="1"/>
  <c r="N9" i="1"/>
  <c r="N19" i="1"/>
  <c r="K19" i="1"/>
  <c r="K6" i="1"/>
  <c r="N6" i="1"/>
  <c r="N21" i="1"/>
  <c r="K21" i="1"/>
  <c r="N7" i="1"/>
  <c r="K7" i="1"/>
  <c r="K18" i="1"/>
  <c r="N18" i="1"/>
</calcChain>
</file>

<file path=xl/sharedStrings.xml><?xml version="1.0" encoding="utf-8"?>
<sst xmlns="http://schemas.openxmlformats.org/spreadsheetml/2006/main" count="1615" uniqueCount="615">
  <si>
    <t>순</t>
    <phoneticPr fontId="2" type="noConversion"/>
  </si>
  <si>
    <t>총구간거리</t>
    <phoneticPr fontId="2" type="noConversion"/>
  </si>
  <si>
    <t>초등구간거리</t>
    <phoneticPr fontId="2" type="noConversion"/>
  </si>
  <si>
    <t>중등구간거리</t>
    <phoneticPr fontId="2" type="noConversion"/>
  </si>
  <si>
    <t>등위</t>
    <phoneticPr fontId="2" type="noConversion"/>
  </si>
  <si>
    <t>소속</t>
    <phoneticPr fontId="2" type="noConversion"/>
  </si>
  <si>
    <t>기록</t>
    <phoneticPr fontId="2" type="noConversion"/>
  </si>
  <si>
    <t>평균시속</t>
    <phoneticPr fontId="2" type="noConversion"/>
  </si>
  <si>
    <t>평균시속</t>
    <phoneticPr fontId="2" type="noConversion"/>
  </si>
  <si>
    <t>초등부 바로가기</t>
    <phoneticPr fontId="2" type="noConversion"/>
  </si>
  <si>
    <t>경산</t>
  </si>
  <si>
    <t>경주</t>
  </si>
  <si>
    <t>구미</t>
  </si>
  <si>
    <t>김천</t>
  </si>
  <si>
    <t>문경</t>
  </si>
  <si>
    <t>상주</t>
  </si>
  <si>
    <t>안동</t>
  </si>
  <si>
    <t>영주</t>
  </si>
  <si>
    <t>영천</t>
  </si>
  <si>
    <t>포항</t>
  </si>
  <si>
    <t>고령</t>
  </si>
  <si>
    <t>군위</t>
  </si>
  <si>
    <t>봉화</t>
  </si>
  <si>
    <t>성주</t>
  </si>
  <si>
    <t>영덕</t>
  </si>
  <si>
    <t>영양</t>
  </si>
  <si>
    <t>예천</t>
  </si>
  <si>
    <t>울릉</t>
  </si>
  <si>
    <t>울진</t>
  </si>
  <si>
    <t>의성</t>
  </si>
  <si>
    <t>청도</t>
  </si>
  <si>
    <t>청송</t>
  </si>
  <si>
    <t>칠곡</t>
  </si>
  <si>
    <t>중등부 바로가기</t>
    <phoneticPr fontId="2" type="noConversion"/>
  </si>
  <si>
    <t>소속</t>
    <phoneticPr fontId="2" type="noConversion"/>
  </si>
  <si>
    <t>종합기록</t>
    <phoneticPr fontId="2" type="noConversion"/>
  </si>
  <si>
    <t>종합등위</t>
    <phoneticPr fontId="2" type="noConversion"/>
  </si>
  <si>
    <t>전 체 종 합 등 위</t>
    <phoneticPr fontId="2" type="noConversion"/>
  </si>
  <si>
    <t>중 등 부 종 합 등 위</t>
    <phoneticPr fontId="2" type="noConversion"/>
  </si>
  <si>
    <t>초 등 부 종 합 등 위</t>
    <phoneticPr fontId="2" type="noConversion"/>
  </si>
  <si>
    <t xml:space="preserve">1.복사할 면 시트보호후 전체를 복사 함 2.붙여넣을 면에 " 붙여넣기" 선택 </t>
    <phoneticPr fontId="2" type="noConversion"/>
  </si>
  <si>
    <t>1</t>
  </si>
  <si>
    <t>2</t>
  </si>
  <si>
    <t>3</t>
  </si>
  <si>
    <t>6</t>
  </si>
  <si>
    <t>4</t>
  </si>
  <si>
    <t>9</t>
  </si>
  <si>
    <t>5</t>
  </si>
  <si>
    <t>7</t>
  </si>
  <si>
    <t>14</t>
  </si>
  <si>
    <t>10</t>
  </si>
  <si>
    <t>11</t>
  </si>
  <si>
    <t>8</t>
  </si>
  <si>
    <t>12</t>
  </si>
  <si>
    <t>13</t>
  </si>
  <si>
    <t>22</t>
  </si>
  <si>
    <t>16</t>
  </si>
  <si>
    <t>15</t>
  </si>
  <si>
    <t>19</t>
  </si>
  <si>
    <t>17</t>
  </si>
  <si>
    <t>20</t>
  </si>
  <si>
    <t>18</t>
  </si>
  <si>
    <t>21</t>
  </si>
  <si>
    <t/>
  </si>
  <si>
    <t>3소구</t>
  </si>
  <si>
    <t>4소구</t>
  </si>
  <si>
    <t>5소구</t>
  </si>
  <si>
    <t>6소구</t>
  </si>
  <si>
    <t>7소구</t>
  </si>
  <si>
    <t>정렬</t>
    <phoneticPr fontId="2" type="noConversion"/>
  </si>
  <si>
    <t>1소구</t>
    <phoneticPr fontId="2" type="noConversion"/>
  </si>
  <si>
    <t>종합순위</t>
    <phoneticPr fontId="2" type="noConversion"/>
  </si>
  <si>
    <t>2소구</t>
    <phoneticPr fontId="2" type="noConversion"/>
  </si>
  <si>
    <t>*입력시주의사항</t>
    <phoneticPr fontId="2" type="noConversion"/>
  </si>
  <si>
    <t>1.종합기록이 같으면 구간 상위 입상자 순으로 함.</t>
    <phoneticPr fontId="2" type="noConversion"/>
  </si>
  <si>
    <t>2.동기록시 "동기록시 등위"란에 "0:00:01"와 같이 입력할 것.</t>
    <phoneticPr fontId="2" type="noConversion"/>
  </si>
  <si>
    <t>포항</t>
    <phoneticPr fontId="2" type="noConversion"/>
  </si>
  <si>
    <t>경주</t>
    <phoneticPr fontId="2" type="noConversion"/>
  </si>
  <si>
    <t>김천</t>
    <phoneticPr fontId="2" type="noConversion"/>
  </si>
  <si>
    <t>안동</t>
    <phoneticPr fontId="2" type="noConversion"/>
  </si>
  <si>
    <t>구미</t>
    <phoneticPr fontId="2" type="noConversion"/>
  </si>
  <si>
    <t>영주</t>
    <phoneticPr fontId="2" type="noConversion"/>
  </si>
  <si>
    <t>영천</t>
    <phoneticPr fontId="2" type="noConversion"/>
  </si>
  <si>
    <t>상주</t>
    <phoneticPr fontId="2" type="noConversion"/>
  </si>
  <si>
    <t>문경</t>
    <phoneticPr fontId="2" type="noConversion"/>
  </si>
  <si>
    <t>경산</t>
    <phoneticPr fontId="2" type="noConversion"/>
  </si>
  <si>
    <t>군위</t>
    <phoneticPr fontId="2" type="noConversion"/>
  </si>
  <si>
    <t>의성</t>
    <phoneticPr fontId="2" type="noConversion"/>
  </si>
  <si>
    <t>청송</t>
    <phoneticPr fontId="2" type="noConversion"/>
  </si>
  <si>
    <t>영양</t>
    <phoneticPr fontId="2" type="noConversion"/>
  </si>
  <si>
    <t>영덕</t>
    <phoneticPr fontId="2" type="noConversion"/>
  </si>
  <si>
    <t>청도</t>
    <phoneticPr fontId="2" type="noConversion"/>
  </si>
  <si>
    <t>고령</t>
    <phoneticPr fontId="2" type="noConversion"/>
  </si>
  <si>
    <t>성주</t>
    <phoneticPr fontId="2" type="noConversion"/>
  </si>
  <si>
    <t>칠곡</t>
    <phoneticPr fontId="2" type="noConversion"/>
  </si>
  <si>
    <t>예천</t>
    <phoneticPr fontId="2" type="noConversion"/>
  </si>
  <si>
    <t>봉화</t>
    <phoneticPr fontId="2" type="noConversion"/>
  </si>
  <si>
    <t>울진</t>
    <phoneticPr fontId="2" type="noConversion"/>
  </si>
  <si>
    <t>울릉</t>
    <phoneticPr fontId="2" type="noConversion"/>
  </si>
  <si>
    <t>등위</t>
    <phoneticPr fontId="2" type="noConversion"/>
  </si>
  <si>
    <t>소속</t>
    <phoneticPr fontId="2" type="noConversion"/>
  </si>
  <si>
    <t>1소구</t>
  </si>
  <si>
    <t>2소구</t>
  </si>
  <si>
    <t>1소구</t>
    <phoneticPr fontId="2" type="noConversion"/>
  </si>
  <si>
    <t>종합순위</t>
    <phoneticPr fontId="2" type="noConversion"/>
  </si>
  <si>
    <t>2소구</t>
    <phoneticPr fontId="2" type="noConversion"/>
  </si>
  <si>
    <t>포항</t>
    <phoneticPr fontId="2" type="noConversion"/>
  </si>
  <si>
    <t>경주</t>
    <phoneticPr fontId="2" type="noConversion"/>
  </si>
  <si>
    <t>김천</t>
    <phoneticPr fontId="2" type="noConversion"/>
  </si>
  <si>
    <t>안동</t>
    <phoneticPr fontId="2" type="noConversion"/>
  </si>
  <si>
    <t>구미</t>
    <phoneticPr fontId="2" type="noConversion"/>
  </si>
  <si>
    <t>영주</t>
    <phoneticPr fontId="2" type="noConversion"/>
  </si>
  <si>
    <t>영천</t>
    <phoneticPr fontId="2" type="noConversion"/>
  </si>
  <si>
    <t>상주</t>
    <phoneticPr fontId="2" type="noConversion"/>
  </si>
  <si>
    <t>문경</t>
    <phoneticPr fontId="2" type="noConversion"/>
  </si>
  <si>
    <t>경산</t>
    <phoneticPr fontId="2" type="noConversion"/>
  </si>
  <si>
    <t>군위</t>
    <phoneticPr fontId="2" type="noConversion"/>
  </si>
  <si>
    <t>의성</t>
    <phoneticPr fontId="2" type="noConversion"/>
  </si>
  <si>
    <t>청송</t>
    <phoneticPr fontId="2" type="noConversion"/>
  </si>
  <si>
    <t>영양</t>
    <phoneticPr fontId="2" type="noConversion"/>
  </si>
  <si>
    <t>영덕</t>
    <phoneticPr fontId="2" type="noConversion"/>
  </si>
  <si>
    <t>청도</t>
    <phoneticPr fontId="2" type="noConversion"/>
  </si>
  <si>
    <t>고령</t>
    <phoneticPr fontId="2" type="noConversion"/>
  </si>
  <si>
    <t>성주</t>
    <phoneticPr fontId="2" type="noConversion"/>
  </si>
  <si>
    <t>칠곡</t>
    <phoneticPr fontId="2" type="noConversion"/>
  </si>
  <si>
    <t>예천</t>
    <phoneticPr fontId="2" type="noConversion"/>
  </si>
  <si>
    <t>봉화</t>
    <phoneticPr fontId="2" type="noConversion"/>
  </si>
  <si>
    <t>울진</t>
    <phoneticPr fontId="2" type="noConversion"/>
  </si>
  <si>
    <t>울릉</t>
    <phoneticPr fontId="2" type="noConversion"/>
  </si>
  <si>
    <t>등위</t>
    <phoneticPr fontId="2" type="noConversion"/>
  </si>
  <si>
    <t>소속</t>
    <phoneticPr fontId="2" type="noConversion"/>
  </si>
  <si>
    <t>구    간    마    라    톤    대    회    (초 등 부)</t>
    <phoneticPr fontId="2" type="noConversion"/>
  </si>
  <si>
    <t xml:space="preserve">   구간           소속      </t>
    <phoneticPr fontId="2" type="noConversion"/>
  </si>
  <si>
    <t>구    간    마    라    톤    대    회    (중 등 부)</t>
    <phoneticPr fontId="2" type="noConversion"/>
  </si>
  <si>
    <t>동시
출발</t>
    <phoneticPr fontId="2" type="noConversion"/>
  </si>
  <si>
    <t>넘      버</t>
    <phoneticPr fontId="2" type="noConversion"/>
  </si>
  <si>
    <t>1-1</t>
  </si>
  <si>
    <t>2-1</t>
  </si>
  <si>
    <t>3-1</t>
  </si>
  <si>
    <t>4-1</t>
  </si>
  <si>
    <t>5-1</t>
  </si>
  <si>
    <t>6-1</t>
  </si>
  <si>
    <t>7-1</t>
  </si>
  <si>
    <t>8-1</t>
  </si>
  <si>
    <t>9-1</t>
  </si>
  <si>
    <t>10-1</t>
  </si>
  <si>
    <t>11-1</t>
  </si>
  <si>
    <t>12-1</t>
  </si>
  <si>
    <t>13-1</t>
  </si>
  <si>
    <t>14-1</t>
  </si>
  <si>
    <t>15-1</t>
  </si>
  <si>
    <t>16-1</t>
  </si>
  <si>
    <t>17-1</t>
  </si>
  <si>
    <t>18-1</t>
  </si>
  <si>
    <t>19-1</t>
  </si>
  <si>
    <t>20-1</t>
  </si>
  <si>
    <t>21-1</t>
  </si>
  <si>
    <t>성      명</t>
    <phoneticPr fontId="2" type="noConversion"/>
  </si>
  <si>
    <t>1소구기록</t>
    <phoneticPr fontId="2" type="noConversion"/>
  </si>
  <si>
    <t>1소구등위</t>
    <phoneticPr fontId="2" type="noConversion"/>
  </si>
  <si>
    <t>도착기록</t>
    <phoneticPr fontId="2" type="noConversion"/>
  </si>
  <si>
    <t>1-2</t>
  </si>
  <si>
    <t>2-2</t>
  </si>
  <si>
    <t>3-2</t>
  </si>
  <si>
    <t>4-2</t>
  </si>
  <si>
    <t>5-2</t>
  </si>
  <si>
    <t>6-2</t>
  </si>
  <si>
    <t>7-2</t>
  </si>
  <si>
    <t>8-2</t>
  </si>
  <si>
    <t>9-2</t>
  </si>
  <si>
    <t>10-2</t>
  </si>
  <si>
    <t>11-2</t>
  </si>
  <si>
    <t>12-2</t>
  </si>
  <si>
    <t>13-2</t>
  </si>
  <si>
    <t>14-2</t>
  </si>
  <si>
    <t>15-2</t>
  </si>
  <si>
    <t>16-2</t>
  </si>
  <si>
    <t>17-2</t>
  </si>
  <si>
    <t>18-2</t>
  </si>
  <si>
    <t>19-2</t>
  </si>
  <si>
    <t>20-2</t>
  </si>
  <si>
    <t>21-2</t>
  </si>
  <si>
    <t>이수인</t>
  </si>
  <si>
    <t>이동건</t>
  </si>
  <si>
    <t>동시출발시간</t>
    <phoneticPr fontId="2" type="noConversion"/>
  </si>
  <si>
    <t>동시출발차</t>
    <phoneticPr fontId="2" type="noConversion"/>
  </si>
  <si>
    <t>2소구기록</t>
    <phoneticPr fontId="2" type="noConversion"/>
  </si>
  <si>
    <t>2소구등위</t>
    <phoneticPr fontId="2" type="noConversion"/>
  </si>
  <si>
    <t>1-3</t>
  </si>
  <si>
    <t>2-3</t>
  </si>
  <si>
    <t>3-3</t>
  </si>
  <si>
    <t>4-3</t>
  </si>
  <si>
    <t>5-3</t>
  </si>
  <si>
    <t>6-3</t>
  </si>
  <si>
    <t>7-3</t>
  </si>
  <si>
    <t>8-3</t>
  </si>
  <si>
    <t>9-3</t>
  </si>
  <si>
    <t>10-3</t>
  </si>
  <si>
    <t>11-3</t>
  </si>
  <si>
    <t>12-3</t>
  </si>
  <si>
    <t>13-3</t>
  </si>
  <si>
    <t>14-3</t>
  </si>
  <si>
    <t>15-3</t>
  </si>
  <si>
    <t>16-3</t>
  </si>
  <si>
    <t>17-3</t>
  </si>
  <si>
    <t>18-3</t>
  </si>
  <si>
    <t>19-3</t>
  </si>
  <si>
    <t>20-3</t>
  </si>
  <si>
    <t>21-3</t>
  </si>
  <si>
    <t>3소구</t>
    <phoneticPr fontId="2" type="noConversion"/>
  </si>
  <si>
    <t>3소구기록</t>
    <phoneticPr fontId="2" type="noConversion"/>
  </si>
  <si>
    <t>3소구등위</t>
    <phoneticPr fontId="2" type="noConversion"/>
  </si>
  <si>
    <t>1-4</t>
  </si>
  <si>
    <t>2-4</t>
  </si>
  <si>
    <t>3-4</t>
  </si>
  <si>
    <t>4-4</t>
  </si>
  <si>
    <t>5-4</t>
  </si>
  <si>
    <t>6-4</t>
  </si>
  <si>
    <t>7-4</t>
  </si>
  <si>
    <t>8-4</t>
  </si>
  <si>
    <t>9-4</t>
  </si>
  <si>
    <t>10-4</t>
  </si>
  <si>
    <t>11-4</t>
  </si>
  <si>
    <t>12-4</t>
  </si>
  <si>
    <t>13-4</t>
  </si>
  <si>
    <t>14-4</t>
  </si>
  <si>
    <t>15-4</t>
  </si>
  <si>
    <t>16-4</t>
  </si>
  <si>
    <t>17-4</t>
  </si>
  <si>
    <t>18-4</t>
  </si>
  <si>
    <t>19-4</t>
  </si>
  <si>
    <t>20-4</t>
  </si>
  <si>
    <t>21-4</t>
  </si>
  <si>
    <t>4소구</t>
    <phoneticPr fontId="2" type="noConversion"/>
  </si>
  <si>
    <t>김도현</t>
  </si>
  <si>
    <t>4소구기록</t>
    <phoneticPr fontId="2" type="noConversion"/>
  </si>
  <si>
    <t>4소구등위</t>
    <phoneticPr fontId="2" type="noConversion"/>
  </si>
  <si>
    <t>1-5</t>
  </si>
  <si>
    <t>2-5</t>
  </si>
  <si>
    <t>3-5</t>
  </si>
  <si>
    <t>4-5</t>
  </si>
  <si>
    <t>5-5</t>
  </si>
  <si>
    <t>6-5</t>
  </si>
  <si>
    <t>7-5</t>
  </si>
  <si>
    <t>8-5</t>
  </si>
  <si>
    <t>9-5</t>
  </si>
  <si>
    <t>10-5</t>
  </si>
  <si>
    <t>11-5</t>
  </si>
  <si>
    <t>12-5</t>
  </si>
  <si>
    <t>13-5</t>
  </si>
  <si>
    <t>14-5</t>
  </si>
  <si>
    <t>15-5</t>
  </si>
  <si>
    <t>16-5</t>
  </si>
  <si>
    <t>17-5</t>
  </si>
  <si>
    <t>18-5</t>
  </si>
  <si>
    <t>19-5</t>
  </si>
  <si>
    <t>20-5</t>
  </si>
  <si>
    <t>21-5</t>
  </si>
  <si>
    <t>5소구</t>
    <phoneticPr fontId="2" type="noConversion"/>
  </si>
  <si>
    <t>김나현</t>
  </si>
  <si>
    <t>5소구기록</t>
    <phoneticPr fontId="2" type="noConversion"/>
  </si>
  <si>
    <t>5소구등위</t>
    <phoneticPr fontId="2" type="noConversion"/>
  </si>
  <si>
    <t>1-6</t>
  </si>
  <si>
    <t>2-6</t>
  </si>
  <si>
    <t>3-6</t>
  </si>
  <si>
    <t>4-6</t>
  </si>
  <si>
    <t>5-6</t>
  </si>
  <si>
    <t>6-6</t>
  </si>
  <si>
    <t>7-6</t>
  </si>
  <si>
    <t>8-6</t>
  </si>
  <si>
    <t>9-6</t>
  </si>
  <si>
    <t>10-6</t>
  </si>
  <si>
    <t>11-6</t>
  </si>
  <si>
    <t>12-6</t>
  </si>
  <si>
    <t>13-6</t>
  </si>
  <si>
    <t>14-6</t>
  </si>
  <si>
    <t>15-6</t>
  </si>
  <si>
    <t>16-6</t>
  </si>
  <si>
    <t>17-6</t>
  </si>
  <si>
    <t>18-6</t>
  </si>
  <si>
    <t>19-6</t>
  </si>
  <si>
    <t>20-6</t>
  </si>
  <si>
    <t>21-6</t>
  </si>
  <si>
    <t>6소구</t>
    <phoneticPr fontId="2" type="noConversion"/>
  </si>
  <si>
    <t>박지민</t>
  </si>
  <si>
    <t>6소구기록</t>
    <phoneticPr fontId="2" type="noConversion"/>
  </si>
  <si>
    <t>6소구등위</t>
    <phoneticPr fontId="2" type="noConversion"/>
  </si>
  <si>
    <t>최종종합기록</t>
    <phoneticPr fontId="2" type="noConversion"/>
  </si>
  <si>
    <t>최종종합순위</t>
    <phoneticPr fontId="2" type="noConversion"/>
  </si>
  <si>
    <t>시군별종합순위</t>
    <phoneticPr fontId="2" type="noConversion"/>
  </si>
  <si>
    <t>9[8]</t>
  </si>
  <si>
    <t>5[4]</t>
  </si>
  <si>
    <t>6[5]</t>
  </si>
  <si>
    <t>10[9]</t>
  </si>
  <si>
    <t>1[1]</t>
  </si>
  <si>
    <t>8[7]</t>
  </si>
  <si>
    <t>2[2]</t>
  </si>
  <si>
    <t>11[10]</t>
  </si>
  <si>
    <t>3[3]</t>
  </si>
  <si>
    <t>7[6]</t>
  </si>
  <si>
    <t>18[8]</t>
  </si>
  <si>
    <t>15[5]</t>
  </si>
  <si>
    <t>21[11]</t>
  </si>
  <si>
    <t>20[10]</t>
  </si>
  <si>
    <t>13[3]</t>
  </si>
  <si>
    <t>19[9]</t>
  </si>
  <si>
    <t>12[2]</t>
  </si>
  <si>
    <t>4[1]</t>
  </si>
  <si>
    <t>16[6]</t>
  </si>
  <si>
    <t>14[4]</t>
  </si>
  <si>
    <t>17[7]</t>
  </si>
  <si>
    <t xml:space="preserve">     소       속</t>
    <phoneticPr fontId="2" type="noConversion"/>
  </si>
  <si>
    <t>동기록시 등위</t>
    <phoneticPr fontId="2" type="noConversion"/>
  </si>
  <si>
    <t>6(2)</t>
  </si>
  <si>
    <t>7소구</t>
    <phoneticPr fontId="2" type="noConversion"/>
  </si>
  <si>
    <t>7소구기록</t>
    <phoneticPr fontId="2" type="noConversion"/>
  </si>
  <si>
    <t>7소구등위</t>
    <phoneticPr fontId="2" type="noConversion"/>
  </si>
  <si>
    <t>전체종합순위</t>
    <phoneticPr fontId="2" type="noConversion"/>
  </si>
  <si>
    <t>정상</t>
  </si>
  <si>
    <t>박기림</t>
  </si>
  <si>
    <t>최승현</t>
  </si>
  <si>
    <t>임준서</t>
  </si>
  <si>
    <t>이동영</t>
  </si>
  <si>
    <t>김유찬</t>
  </si>
  <si>
    <t>우지훈</t>
  </si>
  <si>
    <t>권태린</t>
  </si>
  <si>
    <t>박기원</t>
  </si>
  <si>
    <t>김민현</t>
  </si>
  <si>
    <t>이희승</t>
  </si>
  <si>
    <t>홍준혁</t>
  </si>
  <si>
    <t>이한걸</t>
  </si>
  <si>
    <t>윤승찬</t>
  </si>
  <si>
    <t>김민수</t>
  </si>
  <si>
    <t>장영준</t>
  </si>
  <si>
    <t>홍채준</t>
  </si>
  <si>
    <t>이유건</t>
  </si>
  <si>
    <t>김진우</t>
  </si>
  <si>
    <t>배강호</t>
  </si>
  <si>
    <t>전승원</t>
  </si>
  <si>
    <t>김기윤</t>
  </si>
  <si>
    <t>이제원</t>
  </si>
  <si>
    <t>김호영</t>
  </si>
  <si>
    <t>최다원</t>
  </si>
  <si>
    <t>배솔우</t>
  </si>
  <si>
    <t>정예준</t>
  </si>
  <si>
    <t>김민준</t>
  </si>
  <si>
    <t>황동재</t>
  </si>
  <si>
    <t>김학민</t>
  </si>
  <si>
    <t>김선우</t>
  </si>
  <si>
    <t>오규진</t>
  </si>
  <si>
    <t>정덕채</t>
  </si>
  <si>
    <t>김진호</t>
  </si>
  <si>
    <t>박종승</t>
  </si>
  <si>
    <t>박종훈</t>
  </si>
  <si>
    <t>남도균</t>
  </si>
  <si>
    <t>최민혁</t>
  </si>
  <si>
    <t>신준석</t>
  </si>
  <si>
    <t>강경모</t>
  </si>
  <si>
    <t>신지호</t>
  </si>
  <si>
    <t>구하은</t>
  </si>
  <si>
    <t>전지희</t>
  </si>
  <si>
    <t>조예슬</t>
  </si>
  <si>
    <t>송재연</t>
  </si>
  <si>
    <t>유나래</t>
  </si>
  <si>
    <t>김가희</t>
  </si>
  <si>
    <t>정윤서</t>
  </si>
  <si>
    <t>김단아</t>
  </si>
  <si>
    <t>김유리</t>
  </si>
  <si>
    <t>이희명</t>
  </si>
  <si>
    <t>김서윤</t>
  </si>
  <si>
    <t>정민선</t>
  </si>
  <si>
    <t>최서연</t>
  </si>
  <si>
    <t>장해솔</t>
  </si>
  <si>
    <t>노현정</t>
  </si>
  <si>
    <t>임수진</t>
  </si>
  <si>
    <t>장여진</t>
  </si>
  <si>
    <t>한유진</t>
  </si>
  <si>
    <t>김나예</t>
  </si>
  <si>
    <t>박서영</t>
  </si>
  <si>
    <t>김지아</t>
  </si>
  <si>
    <t>김혜령</t>
  </si>
  <si>
    <t>임채은</t>
  </si>
  <si>
    <t>조은비</t>
  </si>
  <si>
    <t>이지수</t>
  </si>
  <si>
    <t>전수빈</t>
  </si>
  <si>
    <t>이윤아</t>
  </si>
  <si>
    <t>김예진</t>
  </si>
  <si>
    <t>김수민</t>
  </si>
  <si>
    <t>박주예</t>
  </si>
  <si>
    <t>오수빈</t>
  </si>
  <si>
    <t>구다윤</t>
  </si>
  <si>
    <t>김나연</t>
  </si>
  <si>
    <t>박예윤</t>
  </si>
  <si>
    <t>허재은</t>
  </si>
  <si>
    <t>신윤아</t>
  </si>
  <si>
    <t>이진아</t>
  </si>
  <si>
    <t>금소윤</t>
  </si>
  <si>
    <t>김예서</t>
  </si>
  <si>
    <t>조승재</t>
  </si>
  <si>
    <t>박휘건</t>
  </si>
  <si>
    <t>권경도</t>
  </si>
  <si>
    <t>김동현</t>
  </si>
  <si>
    <t>신명식</t>
  </si>
  <si>
    <t>박건하</t>
  </si>
  <si>
    <t>김하람</t>
  </si>
  <si>
    <t>김재환</t>
  </si>
  <si>
    <t>성채호</t>
  </si>
  <si>
    <t>오승민</t>
  </si>
  <si>
    <t>김수환</t>
  </si>
  <si>
    <t>윤승우</t>
  </si>
  <si>
    <t>박시후</t>
  </si>
  <si>
    <t>윤강우</t>
  </si>
  <si>
    <t>김강민</t>
  </si>
  <si>
    <t>이율</t>
  </si>
  <si>
    <t>김이언</t>
  </si>
  <si>
    <t>황예준</t>
  </si>
  <si>
    <t>박주영</t>
  </si>
  <si>
    <t>정지원</t>
  </si>
  <si>
    <t>정의연</t>
  </si>
  <si>
    <t>이예주</t>
  </si>
  <si>
    <t>권현숙</t>
  </si>
  <si>
    <t>곽윤아</t>
  </si>
  <si>
    <t>한예슬</t>
  </si>
  <si>
    <t>오다란</t>
  </si>
  <si>
    <t>박지우</t>
  </si>
  <si>
    <t>이예선</t>
  </si>
  <si>
    <t>하다민</t>
  </si>
  <si>
    <t>유소민</t>
  </si>
  <si>
    <t>권지우</t>
  </si>
  <si>
    <t>윤도하</t>
  </si>
  <si>
    <t>이소율</t>
  </si>
  <si>
    <t>우가윤</t>
  </si>
  <si>
    <t>대윤정</t>
  </si>
  <si>
    <t>김지윤</t>
  </si>
  <si>
    <t>박수현</t>
  </si>
  <si>
    <t>지찬미</t>
  </si>
  <si>
    <t>1-7</t>
  </si>
  <si>
    <t>2-7</t>
  </si>
  <si>
    <t>3-7</t>
  </si>
  <si>
    <t>4-7</t>
  </si>
  <si>
    <t>5-7</t>
  </si>
  <si>
    <t>6-7</t>
  </si>
  <si>
    <t>7-7</t>
  </si>
  <si>
    <t>8-7</t>
  </si>
  <si>
    <t>9-7</t>
  </si>
  <si>
    <t>10-7</t>
  </si>
  <si>
    <t>11-7</t>
  </si>
  <si>
    <t>12-7</t>
  </si>
  <si>
    <t>14-7</t>
  </si>
  <si>
    <t>15-7</t>
  </si>
  <si>
    <t>16-7</t>
  </si>
  <si>
    <t>17-7</t>
  </si>
  <si>
    <t>18-7</t>
  </si>
  <si>
    <t>19-7</t>
  </si>
  <si>
    <t>20-7</t>
  </si>
  <si>
    <t>21-7</t>
  </si>
  <si>
    <t>김주찬</t>
  </si>
  <si>
    <t>최호영</t>
  </si>
  <si>
    <t>박성우</t>
  </si>
  <si>
    <t>임지원</t>
  </si>
  <si>
    <t>이재상</t>
  </si>
  <si>
    <t>박준영</t>
  </si>
  <si>
    <t>김대윤</t>
  </si>
  <si>
    <t>김태윤</t>
  </si>
  <si>
    <t>김성우</t>
  </si>
  <si>
    <t>김승현</t>
  </si>
  <si>
    <t>신대희</t>
  </si>
  <si>
    <t>주세환</t>
  </si>
  <si>
    <t>엄태민</t>
  </si>
  <si>
    <t>양상윤</t>
  </si>
  <si>
    <t>양덕규</t>
  </si>
  <si>
    <t>위우찬</t>
  </si>
  <si>
    <t>이준서</t>
  </si>
  <si>
    <t>박시준</t>
  </si>
  <si>
    <t>전용준</t>
  </si>
  <si>
    <t>14[9]</t>
  </si>
  <si>
    <t>10[8]</t>
  </si>
  <si>
    <t>16[10]</t>
  </si>
  <si>
    <t>13[5]</t>
  </si>
  <si>
    <t>15[6]</t>
  </si>
  <si>
    <t>9[2]</t>
  </si>
  <si>
    <t>11[3]</t>
  </si>
  <si>
    <t>12[4]</t>
  </si>
  <si>
    <t>최아이린</t>
  </si>
  <si>
    <t>안령경</t>
  </si>
  <si>
    <t>김민서</t>
  </si>
  <si>
    <t>권현진</t>
  </si>
  <si>
    <t>이소진</t>
  </si>
  <si>
    <t>윤현주</t>
  </si>
  <si>
    <t>송다원</t>
  </si>
  <si>
    <t>이선경</t>
  </si>
  <si>
    <t>양은지</t>
  </si>
  <si>
    <t>조서연</t>
  </si>
  <si>
    <t>남경애</t>
  </si>
  <si>
    <t>윤은주</t>
  </si>
  <si>
    <t>박한서</t>
  </si>
  <si>
    <t>박성은</t>
  </si>
  <si>
    <t>박예담</t>
  </si>
  <si>
    <t>권수빈</t>
  </si>
  <si>
    <t>박정민</t>
  </si>
  <si>
    <t>우정민</t>
  </si>
  <si>
    <t>박예원</t>
  </si>
  <si>
    <t>이소윤</t>
  </si>
  <si>
    <t>손예은</t>
  </si>
  <si>
    <t>김현우</t>
  </si>
  <si>
    <t>백금동</t>
  </si>
  <si>
    <t>김세빈</t>
  </si>
  <si>
    <t>김혜동</t>
  </si>
  <si>
    <t>신재효</t>
  </si>
  <si>
    <t>권오을</t>
  </si>
  <si>
    <t>염승수</t>
  </si>
  <si>
    <t>이준혁</t>
  </si>
  <si>
    <t>지준서</t>
  </si>
  <si>
    <t>전형준</t>
  </si>
  <si>
    <t>김탁경</t>
  </si>
  <si>
    <t>김건섭</t>
  </si>
  <si>
    <t>김현서</t>
  </si>
  <si>
    <t>임기민</t>
  </si>
  <si>
    <t>박종민</t>
  </si>
  <si>
    <t>이재윤</t>
  </si>
  <si>
    <t>김동해</t>
  </si>
  <si>
    <t>이종철</t>
  </si>
  <si>
    <t>장민성</t>
  </si>
  <si>
    <t>고경민</t>
  </si>
  <si>
    <t>정재환</t>
  </si>
  <si>
    <t>김려원</t>
  </si>
  <si>
    <t>김명지</t>
  </si>
  <si>
    <t>김소원</t>
  </si>
  <si>
    <t>이승연</t>
  </si>
  <si>
    <t>윤재영</t>
  </si>
  <si>
    <t>황재희</t>
  </si>
  <si>
    <t>이보민</t>
  </si>
  <si>
    <t>이은솔</t>
  </si>
  <si>
    <t>정다혜</t>
  </si>
  <si>
    <t>이다해</t>
  </si>
  <si>
    <t>이세린</t>
  </si>
  <si>
    <t>배채윤</t>
  </si>
  <si>
    <t>류민희</t>
  </si>
  <si>
    <t>박나겸</t>
  </si>
  <si>
    <t>성이정</t>
  </si>
  <si>
    <t>장수민</t>
  </si>
  <si>
    <t>임나연</t>
  </si>
  <si>
    <t>최수영</t>
  </si>
  <si>
    <t>장효민</t>
  </si>
  <si>
    <t>최여진</t>
  </si>
  <si>
    <t>탁정호</t>
  </si>
  <si>
    <t>왕현빈</t>
  </si>
  <si>
    <t>전호진</t>
  </si>
  <si>
    <t>최현호</t>
  </si>
  <si>
    <t>조윤혁</t>
  </si>
  <si>
    <t>안병현</t>
  </si>
  <si>
    <t>조준영</t>
  </si>
  <si>
    <t>서유현</t>
  </si>
  <si>
    <t>권재윤</t>
  </si>
  <si>
    <t>김지헌</t>
  </si>
  <si>
    <t>우지민</t>
  </si>
  <si>
    <t>박천범</t>
  </si>
  <si>
    <t>정이준</t>
  </si>
  <si>
    <t>박다훈</t>
  </si>
  <si>
    <t>도지완</t>
  </si>
  <si>
    <t>김시원</t>
  </si>
  <si>
    <t>김진욱</t>
  </si>
  <si>
    <t>윤무열</t>
  </si>
  <si>
    <t>안찬민</t>
  </si>
  <si>
    <t>양준경</t>
  </si>
  <si>
    <t>김지원</t>
  </si>
  <si>
    <t>유채연</t>
  </si>
  <si>
    <t>강세민</t>
  </si>
  <si>
    <t>서주경</t>
  </si>
  <si>
    <t>이휘아</t>
  </si>
  <si>
    <t>김도희</t>
  </si>
  <si>
    <t>김시연</t>
  </si>
  <si>
    <t>윤소영</t>
  </si>
  <si>
    <t>정예주</t>
  </si>
  <si>
    <t>서예림</t>
  </si>
  <si>
    <t>김한솔</t>
  </si>
  <si>
    <t>안지율</t>
  </si>
  <si>
    <t>김주연</t>
  </si>
  <si>
    <t>이서연</t>
  </si>
  <si>
    <t>김태경</t>
  </si>
  <si>
    <t>박현주</t>
  </si>
  <si>
    <t>서민지</t>
  </si>
  <si>
    <t>최은서</t>
  </si>
  <si>
    <t>김윤슬</t>
  </si>
  <si>
    <t>김보미</t>
  </si>
  <si>
    <t>이도현</t>
  </si>
  <si>
    <t>안세현</t>
  </si>
  <si>
    <t>박승연</t>
  </si>
  <si>
    <t>김민진</t>
  </si>
  <si>
    <t>곽동은</t>
  </si>
  <si>
    <t>구태익</t>
  </si>
  <si>
    <t>최유찬</t>
  </si>
  <si>
    <t>하태훈</t>
  </si>
  <si>
    <t>박현준</t>
  </si>
  <si>
    <t>전효근</t>
  </si>
  <si>
    <t>김한성</t>
  </si>
  <si>
    <t>심재겸</t>
  </si>
  <si>
    <t>박경민</t>
  </si>
  <si>
    <t>방재영</t>
  </si>
  <si>
    <t>이서준</t>
  </si>
  <si>
    <t>권호영</t>
  </si>
  <si>
    <t>이승주</t>
  </si>
  <si>
    <t>김태양</t>
  </si>
  <si>
    <t>강한영</t>
  </si>
  <si>
    <t>하윤</t>
  </si>
  <si>
    <t>전지훈</t>
  </si>
  <si>
    <t>4[4]</t>
  </si>
  <si>
    <t>6[6]</t>
  </si>
  <si>
    <t>5[5]</t>
  </si>
  <si>
    <t>7[1]</t>
  </si>
  <si>
    <t>2(2)</t>
  </si>
  <si>
    <t>1(2)</t>
  </si>
  <si>
    <t>14(2)</t>
  </si>
  <si>
    <t>15(2)</t>
  </si>
  <si>
    <t>18(2)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</si>
</sst>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.0&quot;km&quot;"/>
    <numFmt numFmtId="177" formatCode="\(0\)"/>
    <numFmt numFmtId="178" formatCode="h:mm:ss;@"/>
    <numFmt numFmtId="179" formatCode="0.0&quot;km/h&quot;"/>
    <numFmt numFmtId="180" formatCode="0&quot;%&quot;"/>
    <numFmt numFmtId="181" formatCode="0.0&quot;%&quot;"/>
    <numFmt numFmtId="182" formatCode="0_);[Red]\(0\)"/>
    <numFmt numFmtId="183" formatCode="0.00&quot;km&quot;"/>
  </numFmts>
  <fonts count="27" x14ac:knownFonts="1"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1"/>
      <color indexed="12"/>
      <name val="돋움"/>
      <family val="3"/>
      <charset val="129"/>
    </font>
    <font>
      <b/>
      <sz val="11"/>
      <color indexed="12"/>
      <name val="돋움"/>
      <family val="3"/>
      <charset val="129"/>
    </font>
    <font>
      <b/>
      <sz val="16"/>
      <color indexed="12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12"/>
      <color indexed="10"/>
      <name val="돋움"/>
      <family val="3"/>
      <charset val="129"/>
    </font>
    <font>
      <b/>
      <sz val="18"/>
      <name val="돋움"/>
      <family val="3"/>
      <charset val="129"/>
    </font>
    <font>
      <sz val="9"/>
      <name val="돋움"/>
      <family val="3"/>
      <charset val="129"/>
    </font>
    <font>
      <sz val="8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b/>
      <sz val="8"/>
      <name val="돋움"/>
      <family val="3"/>
      <charset val="129"/>
    </font>
    <font>
      <sz val="10"/>
      <color indexed="9"/>
      <name val="돋움"/>
      <family val="3"/>
      <charset val="129"/>
    </font>
    <font>
      <b/>
      <sz val="12"/>
      <color indexed="12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0"/>
      <name val="돋움"/>
      <family val="3"/>
      <charset val="129"/>
    </font>
    <font>
      <b/>
      <sz val="11"/>
      <color rgb="FF0000FF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9"/>
        <bgColor indexed="47"/>
      </patternFill>
    </fill>
    <fill>
      <patternFill patternType="gray0625">
        <fgColor indexed="9"/>
        <bgColor indexed="41"/>
      </patternFill>
    </fill>
    <fill>
      <patternFill patternType="gray0625">
        <fgColor indexed="9"/>
        <bgColor indexed="42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double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double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/>
      <right style="thin">
        <color indexed="9"/>
      </right>
      <top style="thin">
        <color indexed="9"/>
      </top>
      <bottom style="medium">
        <color indexed="8"/>
      </bottom>
      <diagonal/>
    </border>
    <border>
      <left style="double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double">
        <color indexed="8"/>
      </right>
      <top style="thin">
        <color indexed="9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double">
        <color indexed="8"/>
      </left>
      <right style="thin">
        <color indexed="8"/>
      </right>
      <top style="medium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9"/>
      </top>
      <bottom/>
      <diagonal/>
    </border>
    <border>
      <left style="double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double">
        <color indexed="8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double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double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/>
      <top style="medium">
        <color indexed="8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 style="thin">
        <color indexed="9"/>
      </bottom>
      <diagonal/>
    </border>
    <border>
      <left/>
      <right style="double">
        <color indexed="8"/>
      </right>
      <top style="medium">
        <color indexed="8"/>
      </top>
      <bottom style="thin">
        <color indexed="9"/>
      </bottom>
      <diagonal/>
    </border>
    <border>
      <left style="double">
        <color indexed="8"/>
      </left>
      <right/>
      <top style="medium">
        <color indexed="8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>
      <alignment vertical="center"/>
    </xf>
    <xf numFmtId="0" fontId="0" fillId="0" borderId="0" xfId="0" applyProtection="1">
      <alignment vertical="center"/>
      <protection hidden="1"/>
    </xf>
    <xf numFmtId="0" fontId="0" fillId="0" borderId="0" xfId="0" applyAlignment="1" applyProtection="1">
      <alignment horizontal="center"/>
      <protection hidden="1"/>
    </xf>
    <xf numFmtId="0" fontId="5" fillId="0" borderId="0" xfId="0" applyFont="1" applyAlignment="1" applyProtection="1">
      <alignment vertical="center"/>
      <protection hidden="1"/>
    </xf>
    <xf numFmtId="176" fontId="5" fillId="0" borderId="0" xfId="0" applyNumberFormat="1" applyFont="1" applyAlignment="1" applyProtection="1">
      <alignment vertical="center"/>
      <protection hidden="1"/>
    </xf>
    <xf numFmtId="0" fontId="0" fillId="2" borderId="1" xfId="0" applyFill="1" applyBorder="1" applyAlignment="1" applyProtection="1">
      <alignment vertical="center"/>
      <protection hidden="1"/>
    </xf>
    <xf numFmtId="0" fontId="0" fillId="2" borderId="2" xfId="0" applyFill="1" applyBorder="1" applyAlignment="1" applyProtection="1">
      <alignment vertical="center"/>
      <protection hidden="1"/>
    </xf>
    <xf numFmtId="0" fontId="0" fillId="2" borderId="3" xfId="0" applyFill="1" applyBorder="1" applyAlignment="1" applyProtection="1">
      <alignment vertical="center"/>
      <protection hidden="1"/>
    </xf>
    <xf numFmtId="0" fontId="0" fillId="2" borderId="4" xfId="0" applyFill="1" applyBorder="1" applyAlignment="1" applyProtection="1">
      <alignment vertical="center"/>
      <protection hidden="1"/>
    </xf>
    <xf numFmtId="0" fontId="8" fillId="3" borderId="5" xfId="0" applyFont="1" applyFill="1" applyBorder="1" applyAlignment="1" applyProtection="1">
      <alignment horizontal="center" vertical="center"/>
      <protection hidden="1"/>
    </xf>
    <xf numFmtId="0" fontId="8" fillId="3" borderId="6" xfId="0" applyFont="1" applyFill="1" applyBorder="1" applyAlignment="1" applyProtection="1">
      <alignment horizontal="center" vertical="center"/>
      <protection hidden="1"/>
    </xf>
    <xf numFmtId="0" fontId="8" fillId="3" borderId="7" xfId="0" applyFont="1" applyFill="1" applyBorder="1" applyAlignment="1" applyProtection="1">
      <alignment horizontal="center" vertical="center"/>
      <protection hidden="1"/>
    </xf>
    <xf numFmtId="0" fontId="8" fillId="3" borderId="8" xfId="0" applyFont="1" applyFill="1" applyBorder="1" applyAlignment="1" applyProtection="1">
      <alignment horizontal="center" vertical="center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179" fontId="7" fillId="4" borderId="7" xfId="0" applyNumberFormat="1" applyFont="1" applyFill="1" applyBorder="1" applyAlignment="1" applyProtection="1">
      <alignment horizontal="center" vertical="center"/>
      <protection hidden="1"/>
    </xf>
    <xf numFmtId="179" fontId="7" fillId="4" borderId="10" xfId="0" applyNumberFormat="1" applyFont="1" applyFill="1" applyBorder="1" applyAlignment="1" applyProtection="1">
      <alignment horizontal="center" vertical="center"/>
      <protection hidden="1"/>
    </xf>
    <xf numFmtId="0" fontId="7" fillId="4" borderId="6" xfId="0" applyNumberFormat="1" applyFont="1" applyFill="1" applyBorder="1" applyAlignment="1" applyProtection="1">
      <alignment horizontal="center" vertical="center"/>
      <protection hidden="1"/>
    </xf>
    <xf numFmtId="0" fontId="1" fillId="3" borderId="6" xfId="0" applyFont="1" applyFill="1" applyBorder="1" applyAlignment="1" applyProtection="1">
      <alignment horizontal="center" vertical="center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12" xfId="0" applyFont="1" applyFill="1" applyBorder="1" applyAlignment="1" applyProtection="1">
      <alignment horizontal="center" vertical="center"/>
      <protection hidden="1"/>
    </xf>
    <xf numFmtId="0" fontId="7" fillId="4" borderId="13" xfId="0" applyNumberFormat="1" applyFont="1" applyFill="1" applyBorder="1" applyAlignment="1" applyProtection="1">
      <alignment horizontal="center" vertical="center"/>
      <protection hidden="1"/>
    </xf>
    <xf numFmtId="0" fontId="1" fillId="5" borderId="14" xfId="0" applyFont="1" applyFill="1" applyBorder="1" applyAlignment="1" applyProtection="1">
      <alignment horizontal="center" vertical="center"/>
      <protection hidden="1"/>
    </xf>
    <xf numFmtId="178" fontId="1" fillId="5" borderId="15" xfId="0" applyNumberFormat="1" applyFont="1" applyFill="1" applyBorder="1" applyAlignment="1" applyProtection="1">
      <alignment horizontal="center" vertical="center"/>
      <protection hidden="1"/>
    </xf>
    <xf numFmtId="179" fontId="1" fillId="5" borderId="11" xfId="0" applyNumberFormat="1" applyFont="1" applyFill="1" applyBorder="1" applyAlignment="1" applyProtection="1">
      <alignment horizontal="center" vertical="center"/>
      <protection hidden="1"/>
    </xf>
    <xf numFmtId="0" fontId="1" fillId="5" borderId="6" xfId="0" applyFont="1" applyFill="1" applyBorder="1" applyAlignment="1" applyProtection="1">
      <alignment horizontal="center" vertical="center"/>
      <protection hidden="1"/>
    </xf>
    <xf numFmtId="0" fontId="1" fillId="5" borderId="13" xfId="0" applyFont="1" applyFill="1" applyBorder="1" applyAlignment="1" applyProtection="1">
      <alignment horizontal="center" vertical="center"/>
      <protection hidden="1"/>
    </xf>
    <xf numFmtId="178" fontId="1" fillId="5" borderId="16" xfId="0" applyNumberFormat="1" applyFont="1" applyFill="1" applyBorder="1" applyAlignment="1" applyProtection="1">
      <alignment horizontal="center" vertical="center"/>
      <protection hidden="1"/>
    </xf>
    <xf numFmtId="179" fontId="1" fillId="5" borderId="17" xfId="0" applyNumberFormat="1" applyFont="1" applyFill="1" applyBorder="1" applyAlignment="1" applyProtection="1">
      <alignment horizontal="center" vertical="center"/>
      <protection hidden="1"/>
    </xf>
    <xf numFmtId="0" fontId="0" fillId="6" borderId="0" xfId="0" applyFill="1" applyProtection="1">
      <alignment vertical="center"/>
      <protection hidden="1"/>
    </xf>
    <xf numFmtId="0" fontId="12" fillId="7" borderId="18" xfId="0" applyFont="1" applyFill="1" applyBorder="1" applyAlignment="1" applyProtection="1">
      <alignment horizontal="center" vertical="center" wrapText="1"/>
      <protection hidden="1"/>
    </xf>
    <xf numFmtId="0" fontId="12" fillId="7" borderId="19" xfId="0" applyFont="1" applyFill="1" applyBorder="1" applyAlignment="1" applyProtection="1">
      <alignment horizontal="center" vertical="center" wrapText="1"/>
      <protection hidden="1"/>
    </xf>
    <xf numFmtId="0" fontId="12" fillId="2" borderId="21" xfId="0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0" fontId="12" fillId="2" borderId="25" xfId="0" applyFont="1" applyFill="1" applyBorder="1" applyAlignment="1" applyProtection="1">
      <alignment horizontal="center" vertical="center"/>
      <protection hidden="1"/>
    </xf>
    <xf numFmtId="0" fontId="2" fillId="0" borderId="26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16" fillId="2" borderId="26" xfId="0" applyFont="1" applyFill="1" applyBorder="1" applyAlignment="1" applyProtection="1">
      <alignment horizontal="center" vertical="center"/>
      <protection hidden="1"/>
    </xf>
    <xf numFmtId="21" fontId="16" fillId="2" borderId="26" xfId="0" applyNumberFormat="1" applyFont="1" applyFill="1" applyBorder="1" applyAlignment="1" applyProtection="1">
      <alignment horizontal="center" vertical="center"/>
      <protection hidden="1"/>
    </xf>
    <xf numFmtId="21" fontId="16" fillId="2" borderId="27" xfId="0" applyNumberFormat="1" applyFont="1" applyFill="1" applyBorder="1" applyAlignment="1" applyProtection="1">
      <alignment horizontal="center" vertical="center"/>
      <protection hidden="1"/>
    </xf>
    <xf numFmtId="0" fontId="12" fillId="8" borderId="26" xfId="0" applyFont="1" applyFill="1" applyBorder="1" applyAlignment="1" applyProtection="1">
      <alignment horizontal="center" vertical="center"/>
      <protection hidden="1"/>
    </xf>
    <xf numFmtId="21" fontId="2" fillId="8" borderId="26" xfId="0" applyNumberFormat="1" applyFont="1" applyFill="1" applyBorder="1" applyAlignment="1" applyProtection="1">
      <alignment horizontal="center" vertical="center"/>
      <protection hidden="1"/>
    </xf>
    <xf numFmtId="21" fontId="2" fillId="8" borderId="27" xfId="0" applyNumberFormat="1" applyFont="1" applyFill="1" applyBorder="1" applyAlignment="1" applyProtection="1">
      <alignment horizontal="center" vertical="center"/>
      <protection hidden="1"/>
    </xf>
    <xf numFmtId="181" fontId="17" fillId="8" borderId="24" xfId="0" applyNumberFormat="1" applyFont="1" applyFill="1" applyBorder="1" applyAlignment="1" applyProtection="1">
      <alignment horizontal="center" vertical="center"/>
      <protection hidden="1"/>
    </xf>
    <xf numFmtId="177" fontId="15" fillId="8" borderId="26" xfId="0" applyNumberFormat="1" applyFont="1" applyFill="1" applyBorder="1" applyAlignment="1" applyProtection="1">
      <alignment horizontal="right" vertical="center"/>
      <protection hidden="1"/>
    </xf>
    <xf numFmtId="177" fontId="15" fillId="8" borderId="27" xfId="0" applyNumberFormat="1" applyFont="1" applyFill="1" applyBorder="1" applyAlignment="1" applyProtection="1">
      <alignment horizontal="right" vertical="center"/>
      <protection hidden="1"/>
    </xf>
    <xf numFmtId="0" fontId="12" fillId="2" borderId="26" xfId="0" applyFont="1" applyFill="1" applyBorder="1" applyAlignment="1" applyProtection="1">
      <alignment horizontal="center" vertical="center"/>
      <protection hidden="1"/>
    </xf>
    <xf numFmtId="178" fontId="2" fillId="0" borderId="26" xfId="0" applyNumberFormat="1" applyFont="1" applyBorder="1" applyAlignment="1" applyProtection="1">
      <alignment horizontal="center" vertical="center"/>
      <protection hidden="1"/>
    </xf>
    <xf numFmtId="178" fontId="2" fillId="0" borderId="27" xfId="0" applyNumberFormat="1" applyFont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12" fillId="8" borderId="25" xfId="0" applyFont="1" applyFill="1" applyBorder="1" applyAlignment="1" applyProtection="1">
      <alignment horizontal="center" vertical="center"/>
      <protection hidden="1"/>
    </xf>
    <xf numFmtId="182" fontId="18" fillId="8" borderId="25" xfId="0" applyNumberFormat="1" applyFont="1" applyFill="1" applyBorder="1" applyAlignment="1" applyProtection="1">
      <alignment horizontal="center" vertical="center"/>
      <protection hidden="1"/>
    </xf>
    <xf numFmtId="182" fontId="18" fillId="8" borderId="29" xfId="0" applyNumberFormat="1" applyFont="1" applyFill="1" applyBorder="1" applyAlignment="1" applyProtection="1">
      <alignment horizontal="center" vertical="center"/>
      <protection hidden="1"/>
    </xf>
    <xf numFmtId="0" fontId="1" fillId="2" borderId="30" xfId="0" applyFont="1" applyFill="1" applyBorder="1" applyAlignment="1" applyProtection="1">
      <alignment horizontal="center" vertical="center"/>
      <protection hidden="1"/>
    </xf>
    <xf numFmtId="0" fontId="1" fillId="2" borderId="31" xfId="0" applyFont="1" applyFill="1" applyBorder="1" applyAlignment="1" applyProtection="1">
      <alignment horizontal="center" vertical="center"/>
      <protection hidden="1"/>
    </xf>
    <xf numFmtId="0" fontId="12" fillId="2" borderId="32" xfId="0" applyFont="1" applyFill="1" applyBorder="1" applyAlignment="1" applyProtection="1">
      <alignment horizontal="center" vertical="center"/>
      <protection hidden="1"/>
    </xf>
    <xf numFmtId="178" fontId="16" fillId="0" borderId="26" xfId="0" applyNumberFormat="1" applyFont="1" applyBorder="1" applyAlignment="1" applyProtection="1">
      <alignment horizontal="center" vertical="center"/>
      <protection hidden="1"/>
    </xf>
    <xf numFmtId="178" fontId="16" fillId="0" borderId="27" xfId="0" applyNumberFormat="1" applyFont="1" applyBorder="1" applyAlignment="1" applyProtection="1">
      <alignment horizontal="center" vertical="center"/>
      <protection hidden="1"/>
    </xf>
    <xf numFmtId="0" fontId="12" fillId="8" borderId="33" xfId="0" applyFont="1" applyFill="1" applyBorder="1" applyAlignment="1" applyProtection="1">
      <alignment horizontal="center" vertical="center"/>
      <protection hidden="1"/>
    </xf>
    <xf numFmtId="0" fontId="17" fillId="2" borderId="24" xfId="0" applyFont="1" applyFill="1" applyBorder="1" applyAlignment="1" applyProtection="1">
      <alignment horizontal="center" vertical="center"/>
      <protection hidden="1"/>
    </xf>
    <xf numFmtId="0" fontId="17" fillId="2" borderId="32" xfId="0" applyFont="1" applyFill="1" applyBorder="1" applyAlignment="1" applyProtection="1">
      <alignment horizontal="center" vertical="center"/>
      <protection hidden="1"/>
    </xf>
    <xf numFmtId="0" fontId="12" fillId="2" borderId="34" xfId="0" applyFont="1" applyFill="1" applyBorder="1" applyAlignment="1" applyProtection="1">
      <alignment horizontal="center" vertical="center"/>
      <protection hidden="1"/>
    </xf>
    <xf numFmtId="0" fontId="16" fillId="2" borderId="34" xfId="0" applyFont="1" applyFill="1" applyBorder="1" applyAlignment="1" applyProtection="1">
      <alignment horizontal="center" vertical="center"/>
      <protection hidden="1"/>
    </xf>
    <xf numFmtId="0" fontId="17" fillId="2" borderId="28" xfId="0" applyFont="1" applyFill="1" applyBorder="1" applyAlignment="1" applyProtection="1">
      <alignment horizontal="center" vertical="center"/>
      <protection hidden="1"/>
    </xf>
    <xf numFmtId="0" fontId="17" fillId="2" borderId="35" xfId="0" applyFont="1" applyFill="1" applyBorder="1" applyAlignment="1" applyProtection="1">
      <alignment horizontal="center" vertical="center"/>
      <protection hidden="1"/>
    </xf>
    <xf numFmtId="0" fontId="1" fillId="2" borderId="24" xfId="0" applyFont="1" applyFill="1" applyBorder="1" applyAlignment="1" applyProtection="1">
      <alignment horizontal="center" vertical="center"/>
      <protection hidden="1"/>
    </xf>
    <xf numFmtId="0" fontId="1" fillId="2" borderId="32" xfId="0" applyFont="1" applyFill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12" fillId="8" borderId="37" xfId="0" applyFont="1" applyFill="1" applyBorder="1" applyAlignment="1" applyProtection="1">
      <alignment horizontal="center" vertical="center"/>
      <protection hidden="1"/>
    </xf>
    <xf numFmtId="182" fontId="18" fillId="8" borderId="37" xfId="0" applyNumberFormat="1" applyFont="1" applyFill="1" applyBorder="1" applyAlignment="1" applyProtection="1">
      <alignment horizontal="center" vertical="center"/>
      <protection hidden="1"/>
    </xf>
    <xf numFmtId="182" fontId="18" fillId="8" borderId="38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Border="1" applyProtection="1">
      <alignment vertical="center"/>
      <protection hidden="1"/>
    </xf>
    <xf numFmtId="0" fontId="15" fillId="7" borderId="39" xfId="0" applyFont="1" applyFill="1" applyBorder="1" applyAlignment="1" applyProtection="1">
      <alignment vertical="center"/>
      <protection hidden="1"/>
    </xf>
    <xf numFmtId="176" fontId="12" fillId="8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/>
      <protection locked="0"/>
    </xf>
    <xf numFmtId="181" fontId="19" fillId="2" borderId="32" xfId="0" applyNumberFormat="1" applyFont="1" applyFill="1" applyBorder="1" applyAlignment="1" applyProtection="1">
      <alignment horizontal="center" vertical="center"/>
      <protection locked="0"/>
    </xf>
    <xf numFmtId="0" fontId="12" fillId="2" borderId="46" xfId="0" applyFont="1" applyFill="1" applyBorder="1" applyAlignment="1" applyProtection="1">
      <alignment horizontal="center" vertical="center"/>
      <protection hidden="1"/>
    </xf>
    <xf numFmtId="0" fontId="20" fillId="2" borderId="41" xfId="0" applyFont="1" applyFill="1" applyBorder="1" applyAlignment="1" applyProtection="1">
      <alignment horizontal="center" vertical="center"/>
      <protection hidden="1"/>
    </xf>
    <xf numFmtId="0" fontId="20" fillId="2" borderId="42" xfId="0" applyFont="1" applyFill="1" applyBorder="1" applyAlignment="1" applyProtection="1">
      <alignment horizontal="center" vertical="center"/>
      <protection hidden="1"/>
    </xf>
    <xf numFmtId="0" fontId="20" fillId="2" borderId="31" xfId="0" applyFont="1" applyFill="1" applyBorder="1" applyAlignment="1" applyProtection="1">
      <alignment horizontal="center" vertical="center"/>
      <protection hidden="1"/>
    </xf>
    <xf numFmtId="0" fontId="15" fillId="7" borderId="39" xfId="0" applyFont="1" applyFill="1" applyBorder="1" applyAlignment="1" applyProtection="1">
      <alignment horizontal="center" vertical="center" wrapText="1"/>
      <protection locked="0" hidden="1"/>
    </xf>
    <xf numFmtId="0" fontId="15" fillId="7" borderId="40" xfId="0" applyFont="1" applyFill="1" applyBorder="1" applyAlignment="1" applyProtection="1">
      <alignment horizontal="center" vertical="center" wrapText="1"/>
      <protection locked="0" hidden="1"/>
    </xf>
    <xf numFmtId="178" fontId="7" fillId="4" borderId="6" xfId="0" applyNumberFormat="1" applyFont="1" applyFill="1" applyBorder="1" applyAlignment="1" applyProtection="1">
      <alignment horizontal="center" vertical="center"/>
      <protection hidden="1"/>
    </xf>
    <xf numFmtId="179" fontId="7" fillId="4" borderId="9" xfId="0" applyNumberFormat="1" applyFont="1" applyFill="1" applyBorder="1" applyAlignment="1" applyProtection="1">
      <alignment horizontal="center" vertical="center"/>
      <protection hidden="1"/>
    </xf>
    <xf numFmtId="0" fontId="7" fillId="4" borderId="5" xfId="0" applyNumberFormat="1" applyFont="1" applyFill="1" applyBorder="1" applyAlignment="1" applyProtection="1">
      <alignment horizontal="center" vertical="center"/>
      <protection hidden="1"/>
    </xf>
    <xf numFmtId="0" fontId="7" fillId="4" borderId="49" xfId="0" applyNumberFormat="1" applyFont="1" applyFill="1" applyBorder="1" applyAlignment="1" applyProtection="1">
      <alignment horizontal="center" vertical="center"/>
      <protection hidden="1"/>
    </xf>
    <xf numFmtId="178" fontId="7" fillId="4" borderId="13" xfId="0" applyNumberFormat="1" applyFont="1" applyFill="1" applyBorder="1" applyAlignment="1" applyProtection="1">
      <alignment horizontal="center" vertical="center"/>
      <protection hidden="1"/>
    </xf>
    <xf numFmtId="0" fontId="11" fillId="5" borderId="14" xfId="0" applyNumberFormat="1" applyFont="1" applyFill="1" applyBorder="1" applyAlignment="1" applyProtection="1">
      <alignment horizontal="center" vertical="center"/>
      <protection hidden="1"/>
    </xf>
    <xf numFmtId="0" fontId="11" fillId="5" borderId="50" xfId="0" applyNumberFormat="1" applyFont="1" applyFill="1" applyBorder="1" applyAlignment="1" applyProtection="1">
      <alignment horizontal="center" vertical="center"/>
      <protection hidden="1"/>
    </xf>
    <xf numFmtId="0" fontId="7" fillId="4" borderId="8" xfId="0" applyNumberFormat="1" applyFont="1" applyFill="1" applyBorder="1" applyAlignment="1" applyProtection="1">
      <alignment horizontal="center" vertical="center"/>
      <protection hidden="1"/>
    </xf>
    <xf numFmtId="0" fontId="7" fillId="4" borderId="51" xfId="0" applyNumberFormat="1" applyFont="1" applyFill="1" applyBorder="1" applyAlignment="1" applyProtection="1">
      <alignment horizontal="center" vertical="center"/>
      <protection hidden="1"/>
    </xf>
    <xf numFmtId="179" fontId="7" fillId="4" borderId="52" xfId="0" applyNumberFormat="1" applyFont="1" applyFill="1" applyBorder="1" applyAlignment="1" applyProtection="1">
      <alignment horizontal="center" vertical="center"/>
      <protection hidden="1"/>
    </xf>
    <xf numFmtId="176" fontId="4" fillId="0" borderId="0" xfId="0" applyNumberFormat="1" applyFont="1" applyBorder="1" applyAlignment="1" applyProtection="1">
      <alignment horizontal="center" vertical="center"/>
      <protection hidden="1"/>
    </xf>
    <xf numFmtId="176" fontId="6" fillId="4" borderId="53" xfId="0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 applyProtection="1">
      <alignment vertical="center"/>
      <protection hidden="1"/>
    </xf>
    <xf numFmtId="0" fontId="1" fillId="3" borderId="55" xfId="0" applyFont="1" applyFill="1" applyBorder="1" applyAlignment="1" applyProtection="1">
      <alignment horizontal="center" vertical="center"/>
      <protection hidden="1"/>
    </xf>
    <xf numFmtId="0" fontId="9" fillId="3" borderId="56" xfId="0" applyFont="1" applyFill="1" applyBorder="1" applyAlignment="1" applyProtection="1">
      <alignment horizontal="center" vertical="center"/>
      <protection hidden="1"/>
    </xf>
    <xf numFmtId="0" fontId="8" fillId="3" borderId="57" xfId="0" applyFont="1" applyFill="1" applyBorder="1" applyAlignment="1" applyProtection="1">
      <alignment horizontal="center" vertical="center"/>
      <protection hidden="1"/>
    </xf>
    <xf numFmtId="0" fontId="7" fillId="4" borderId="58" xfId="0" applyNumberFormat="1" applyFont="1" applyFill="1" applyBorder="1" applyAlignment="1" applyProtection="1">
      <alignment horizontal="center" vertical="center"/>
      <protection hidden="1"/>
    </xf>
    <xf numFmtId="0" fontId="7" fillId="4" borderId="59" xfId="0" applyNumberFormat="1" applyFont="1" applyFill="1" applyBorder="1" applyAlignment="1" applyProtection="1">
      <alignment horizontal="center" vertical="center"/>
      <protection hidden="1"/>
    </xf>
    <xf numFmtId="183" fontId="5" fillId="7" borderId="63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30" xfId="0" applyBorder="1" applyAlignment="1" applyProtection="1">
      <protection hidden="1"/>
    </xf>
    <xf numFmtId="183" fontId="12" fillId="8" borderId="6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hidden="1"/>
    </xf>
    <xf numFmtId="0" fontId="22" fillId="2" borderId="26" xfId="0" applyFont="1" applyFill="1" applyBorder="1" applyAlignment="1" applyProtection="1">
      <alignment horizontal="center" vertical="center"/>
      <protection hidden="1"/>
    </xf>
    <xf numFmtId="21" fontId="18" fillId="2" borderId="65" xfId="0" applyNumberFormat="1" applyFont="1" applyFill="1" applyBorder="1" applyAlignment="1" applyProtection="1">
      <alignment horizontal="center" vertical="center"/>
      <protection hidden="1"/>
    </xf>
    <xf numFmtId="21" fontId="18" fillId="2" borderId="66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protection hidden="1"/>
    </xf>
    <xf numFmtId="0" fontId="21" fillId="0" borderId="0" xfId="0" applyFont="1" applyAlignment="1" applyProtection="1">
      <protection hidden="1"/>
    </xf>
    <xf numFmtId="0" fontId="0" fillId="0" borderId="39" xfId="0" applyBorder="1" applyAlignment="1" applyProtection="1">
      <protection hidden="1"/>
    </xf>
    <xf numFmtId="21" fontId="15" fillId="0" borderId="39" xfId="0" applyNumberFormat="1" applyFont="1" applyBorder="1" applyAlignment="1" applyProtection="1">
      <protection hidden="1"/>
    </xf>
    <xf numFmtId="0" fontId="15" fillId="7" borderId="39" xfId="0" applyFont="1" applyFill="1" applyBorder="1" applyAlignment="1" applyProtection="1">
      <alignment horizontal="center" vertical="center" wrapText="1"/>
      <protection hidden="1"/>
    </xf>
    <xf numFmtId="0" fontId="15" fillId="7" borderId="40" xfId="0" applyFont="1" applyFill="1" applyBorder="1" applyAlignment="1" applyProtection="1">
      <alignment horizontal="center" vertical="center" wrapText="1"/>
      <protection hidden="1"/>
    </xf>
    <xf numFmtId="0" fontId="0" fillId="0" borderId="39" xfId="0" applyNumberFormat="1" applyBorder="1" applyAlignment="1" applyProtection="1">
      <alignment horizontal="center"/>
      <protection hidden="1"/>
    </xf>
    <xf numFmtId="178" fontId="15" fillId="0" borderId="39" xfId="0" applyNumberFormat="1" applyFont="1" applyBorder="1" applyAlignment="1" applyProtection="1">
      <alignment horizontal="center"/>
      <protection hidden="1"/>
    </xf>
    <xf numFmtId="0" fontId="2" fillId="0" borderId="39" xfId="0" applyFont="1" applyBorder="1" applyAlignment="1" applyProtection="1">
      <alignment horizontal="center" vertical="center"/>
      <protection hidden="1"/>
    </xf>
    <xf numFmtId="178" fontId="2" fillId="0" borderId="39" xfId="0" applyNumberFormat="1" applyFont="1" applyBorder="1" applyAlignment="1" applyProtection="1">
      <alignment horizontal="center" vertical="center"/>
      <protection hidden="1"/>
    </xf>
    <xf numFmtId="21" fontId="2" fillId="8" borderId="65" xfId="0" applyNumberFormat="1" applyFont="1" applyFill="1" applyBorder="1" applyAlignment="1" applyProtection="1">
      <alignment horizontal="center" vertical="center"/>
      <protection hidden="1"/>
    </xf>
    <xf numFmtId="0" fontId="12" fillId="9" borderId="26" xfId="0" applyFont="1" applyFill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/>
    </xf>
    <xf numFmtId="178" fontId="2" fillId="0" borderId="34" xfId="0" applyNumberFormat="1" applyFont="1" applyBorder="1" applyAlignment="1" applyProtection="1">
      <alignment horizontal="center" vertical="center"/>
      <protection hidden="1"/>
    </xf>
    <xf numFmtId="176" fontId="12" fillId="8" borderId="64" xfId="0" applyNumberFormat="1" applyFont="1" applyFill="1" applyBorder="1" applyAlignment="1" applyProtection="1">
      <alignment horizontal="center" vertical="center"/>
      <protection locked="0"/>
    </xf>
    <xf numFmtId="0" fontId="20" fillId="2" borderId="39" xfId="0" applyFont="1" applyFill="1" applyBorder="1" applyAlignment="1" applyProtection="1">
      <alignment horizontal="center" vertical="center"/>
      <protection hidden="1"/>
    </xf>
    <xf numFmtId="0" fontId="20" fillId="2" borderId="40" xfId="0" applyFont="1" applyFill="1" applyBorder="1" applyAlignment="1" applyProtection="1">
      <alignment horizontal="center" vertical="center"/>
      <protection hidden="1"/>
    </xf>
    <xf numFmtId="0" fontId="8" fillId="2" borderId="39" xfId="0" applyFont="1" applyFill="1" applyBorder="1" applyAlignment="1" applyProtection="1">
      <alignment horizontal="center" vertical="center"/>
      <protection hidden="1"/>
    </xf>
    <xf numFmtId="0" fontId="8" fillId="2" borderId="40" xfId="0" applyFont="1" applyFill="1" applyBorder="1" applyAlignment="1" applyProtection="1">
      <alignment horizontal="center" vertical="center"/>
      <protection hidden="1"/>
    </xf>
    <xf numFmtId="0" fontId="15" fillId="7" borderId="47" xfId="0" applyFont="1" applyFill="1" applyBorder="1" applyProtection="1">
      <alignment vertical="center"/>
      <protection hidden="1"/>
    </xf>
    <xf numFmtId="0" fontId="15" fillId="7" borderId="48" xfId="0" applyFont="1" applyFill="1" applyBorder="1" applyProtection="1">
      <alignment vertical="center"/>
      <protection hidden="1"/>
    </xf>
    <xf numFmtId="21" fontId="15" fillId="7" borderId="39" xfId="0" applyNumberFormat="1" applyFont="1" applyFill="1" applyBorder="1" applyProtection="1">
      <alignment vertical="center"/>
      <protection hidden="1"/>
    </xf>
    <xf numFmtId="21" fontId="15" fillId="7" borderId="40" xfId="0" applyNumberFormat="1" applyFont="1" applyFill="1" applyBorder="1" applyProtection="1">
      <alignment vertical="center"/>
      <protection hidden="1"/>
    </xf>
    <xf numFmtId="21" fontId="15" fillId="7" borderId="43" xfId="0" applyNumberFormat="1" applyFont="1" applyFill="1" applyBorder="1" applyProtection="1">
      <alignment vertical="center"/>
      <protection locked="0"/>
    </xf>
    <xf numFmtId="0" fontId="15" fillId="7" borderId="43" xfId="0" applyFont="1" applyFill="1" applyBorder="1" applyProtection="1">
      <alignment vertical="center"/>
      <protection locked="0"/>
    </xf>
    <xf numFmtId="0" fontId="15" fillId="7" borderId="44" xfId="0" applyFont="1" applyFill="1" applyBorder="1" applyProtection="1">
      <alignment vertical="center"/>
      <protection locked="0"/>
    </xf>
    <xf numFmtId="0" fontId="15" fillId="7" borderId="40" xfId="0" applyFont="1" applyFill="1" applyBorder="1" applyProtection="1">
      <alignment vertical="center"/>
      <protection hidden="1"/>
    </xf>
    <xf numFmtId="0" fontId="20" fillId="2" borderId="60" xfId="0" applyFont="1" applyFill="1" applyBorder="1" applyAlignment="1" applyProtection="1">
      <alignment horizontal="center" vertical="center"/>
      <protection hidden="1"/>
    </xf>
    <xf numFmtId="0" fontId="20" fillId="2" borderId="61" xfId="0" applyFont="1" applyFill="1" applyBorder="1" applyAlignment="1" applyProtection="1">
      <alignment horizontal="center" vertical="center"/>
      <protection hidden="1"/>
    </xf>
    <xf numFmtId="0" fontId="20" fillId="2" borderId="62" xfId="0" applyFont="1" applyFill="1" applyBorder="1" applyAlignment="1" applyProtection="1">
      <alignment horizontal="center" vertical="center"/>
      <protection hidden="1"/>
    </xf>
    <xf numFmtId="0" fontId="5" fillId="7" borderId="41" xfId="0" applyFont="1" applyFill="1" applyBorder="1" applyProtection="1">
      <alignment vertical="center"/>
      <protection hidden="1"/>
    </xf>
    <xf numFmtId="0" fontId="5" fillId="7" borderId="42" xfId="0" applyFont="1" applyFill="1" applyBorder="1" applyProtection="1">
      <alignment vertical="center"/>
      <protection hidden="1"/>
    </xf>
    <xf numFmtId="0" fontId="5" fillId="7" borderId="31" xfId="0" applyFont="1" applyFill="1" applyBorder="1" applyProtection="1">
      <alignment vertical="center"/>
      <protection hidden="1"/>
    </xf>
    <xf numFmtId="180" fontId="13" fillId="7" borderId="20" xfId="0" applyNumberFormat="1" applyFont="1" applyFill="1" applyBorder="1" applyAlignment="1" applyProtection="1">
      <alignment horizontal="center" vertical="center" shrinkToFit="1"/>
      <protection hidden="1"/>
    </xf>
    <xf numFmtId="21" fontId="12" fillId="8" borderId="26" xfId="0" applyNumberFormat="1" applyFont="1" applyFill="1" applyBorder="1" applyAlignment="1" applyProtection="1">
      <alignment horizontal="center" vertical="center" shrinkToFit="1"/>
      <protection hidden="1"/>
    </xf>
    <xf numFmtId="0" fontId="9" fillId="3" borderId="69" xfId="0" applyFont="1" applyFill="1" applyBorder="1" applyAlignment="1" applyProtection="1">
      <alignment horizontal="center" vertical="center"/>
      <protection hidden="1"/>
    </xf>
    <xf numFmtId="0" fontId="9" fillId="3" borderId="70" xfId="0" applyFont="1" applyFill="1" applyBorder="1" applyAlignment="1" applyProtection="1">
      <alignment horizontal="center" vertical="center"/>
      <protection hidden="1"/>
    </xf>
    <xf numFmtId="0" fontId="6" fillId="4" borderId="71" xfId="0" applyFont="1" applyFill="1" applyBorder="1" applyAlignment="1" applyProtection="1">
      <alignment horizontal="center" vertical="center"/>
      <protection hidden="1"/>
    </xf>
    <xf numFmtId="0" fontId="6" fillId="4" borderId="72" xfId="0" applyFont="1" applyFill="1" applyBorder="1" applyAlignment="1" applyProtection="1">
      <alignment horizontal="center" vertical="center"/>
      <protection hidden="1"/>
    </xf>
    <xf numFmtId="183" fontId="6" fillId="4" borderId="67" xfId="0" applyNumberFormat="1" applyFont="1" applyFill="1" applyBorder="1" applyAlignment="1" applyProtection="1">
      <alignment horizontal="center" vertical="center"/>
      <protection hidden="1"/>
    </xf>
    <xf numFmtId="183" fontId="6" fillId="4" borderId="72" xfId="0" applyNumberFormat="1" applyFont="1" applyFill="1" applyBorder="1" applyAlignment="1" applyProtection="1">
      <alignment horizontal="center" vertical="center"/>
      <protection hidden="1"/>
    </xf>
    <xf numFmtId="0" fontId="6" fillId="4" borderId="67" xfId="0" applyFont="1" applyFill="1" applyBorder="1" applyAlignment="1" applyProtection="1">
      <alignment horizontal="center" vertical="center"/>
      <protection hidden="1"/>
    </xf>
    <xf numFmtId="0" fontId="10" fillId="0" borderId="73" xfId="1" applyBorder="1" applyAlignment="1" applyProtection="1">
      <alignment horizontal="center" vertical="center"/>
    </xf>
    <xf numFmtId="0" fontId="10" fillId="0" borderId="0" xfId="1" applyAlignment="1" applyProtection="1">
      <alignment horizontal="center" vertical="center"/>
    </xf>
    <xf numFmtId="0" fontId="10" fillId="0" borderId="73" xfId="1" applyBorder="1" applyAlignment="1" applyProtection="1">
      <alignment horizontal="center" vertical="center"/>
      <protection hidden="1"/>
    </xf>
    <xf numFmtId="0" fontId="10" fillId="0" borderId="0" xfId="1" applyAlignment="1" applyProtection="1">
      <alignment horizontal="center" vertical="center"/>
      <protection hidden="1"/>
    </xf>
    <xf numFmtId="0" fontId="9" fillId="3" borderId="74" xfId="0" applyFont="1" applyFill="1" applyBorder="1" applyAlignment="1" applyProtection="1">
      <alignment horizontal="center" vertical="center"/>
      <protection hidden="1"/>
    </xf>
    <xf numFmtId="0" fontId="9" fillId="3" borderId="75" xfId="0" applyFont="1" applyFill="1" applyBorder="1" applyAlignment="1" applyProtection="1">
      <alignment horizontal="center" vertical="center"/>
      <protection hidden="1"/>
    </xf>
    <xf numFmtId="0" fontId="9" fillId="3" borderId="76" xfId="0" applyFont="1" applyFill="1" applyBorder="1" applyAlignment="1" applyProtection="1">
      <alignment horizontal="center" vertical="center"/>
      <protection hidden="1"/>
    </xf>
    <xf numFmtId="0" fontId="3" fillId="3" borderId="77" xfId="0" applyFont="1" applyFill="1" applyBorder="1" applyAlignment="1" applyProtection="1">
      <alignment horizontal="center" vertical="center"/>
      <protection hidden="1"/>
    </xf>
    <xf numFmtId="0" fontId="0" fillId="0" borderId="70" xfId="0" applyBorder="1">
      <alignment vertical="center"/>
    </xf>
    <xf numFmtId="0" fontId="0" fillId="0" borderId="78" xfId="0" applyBorder="1">
      <alignment vertical="center"/>
    </xf>
    <xf numFmtId="176" fontId="5" fillId="4" borderId="67" xfId="0" applyNumberFormat="1" applyFont="1" applyFill="1" applyBorder="1" applyAlignment="1" applyProtection="1">
      <alignment horizontal="center" vertical="center"/>
      <protection hidden="1"/>
    </xf>
    <xf numFmtId="176" fontId="5" fillId="4" borderId="72" xfId="0" applyNumberFormat="1" applyFont="1" applyFill="1" applyBorder="1" applyAlignment="1" applyProtection="1">
      <alignment horizontal="center" vertical="center"/>
      <protection hidden="1"/>
    </xf>
    <xf numFmtId="176" fontId="5" fillId="4" borderId="68" xfId="0" applyNumberFormat="1" applyFont="1" applyFill="1" applyBorder="1" applyAlignment="1" applyProtection="1">
      <alignment horizontal="center" vertical="center"/>
      <protection hidden="1"/>
    </xf>
    <xf numFmtId="0" fontId="9" fillId="3" borderId="79" xfId="0" applyFont="1" applyFill="1" applyBorder="1" applyAlignment="1" applyProtection="1">
      <alignment horizontal="center" vertical="center"/>
      <protection hidden="1"/>
    </xf>
    <xf numFmtId="0" fontId="9" fillId="3" borderId="80" xfId="0" applyFont="1" applyFill="1" applyBorder="1" applyAlignment="1" applyProtection="1">
      <alignment horizontal="center" vertical="center"/>
      <protection hidden="1"/>
    </xf>
    <xf numFmtId="0" fontId="3" fillId="3" borderId="70" xfId="0" applyFont="1" applyFill="1" applyBorder="1" applyAlignment="1" applyProtection="1">
      <alignment horizontal="center" vertical="center"/>
      <protection hidden="1"/>
    </xf>
    <xf numFmtId="0" fontId="3" fillId="3" borderId="78" xfId="0" applyFont="1" applyFill="1" applyBorder="1" applyAlignment="1" applyProtection="1">
      <alignment horizontal="center" vertical="center"/>
      <protection hidden="1"/>
    </xf>
    <xf numFmtId="0" fontId="12" fillId="7" borderId="81" xfId="0" applyFont="1" applyFill="1" applyBorder="1" applyAlignment="1" applyProtection="1">
      <alignment horizontal="center" vertical="center"/>
      <protection hidden="1"/>
    </xf>
    <xf numFmtId="0" fontId="12" fillId="7" borderId="82" xfId="0" applyFont="1" applyFill="1" applyBorder="1" applyAlignment="1" applyProtection="1">
      <alignment horizontal="center" vertical="center"/>
      <protection hidden="1"/>
    </xf>
    <xf numFmtId="0" fontId="12" fillId="7" borderId="43" xfId="0" applyFont="1" applyFill="1" applyBorder="1" applyAlignment="1" applyProtection="1">
      <alignment horizontal="center" vertical="center"/>
      <protection hidden="1"/>
    </xf>
    <xf numFmtId="0" fontId="8" fillId="2" borderId="60" xfId="0" applyFont="1" applyFill="1" applyBorder="1" applyAlignment="1" applyProtection="1">
      <alignment horizontal="center" vertical="center"/>
      <protection hidden="1"/>
    </xf>
    <xf numFmtId="0" fontId="8" fillId="2" borderId="61" xfId="0" applyFont="1" applyFill="1" applyBorder="1" applyAlignment="1" applyProtection="1">
      <alignment horizontal="center" vertical="center"/>
      <protection hidden="1"/>
    </xf>
    <xf numFmtId="0" fontId="8" fillId="2" borderId="62" xfId="0" applyFont="1" applyFill="1" applyBorder="1" applyAlignment="1" applyProtection="1">
      <alignment horizontal="center" vertical="center"/>
      <protection hidden="1"/>
    </xf>
    <xf numFmtId="0" fontId="14" fillId="7" borderId="19" xfId="0" applyFont="1" applyFill="1" applyBorder="1" applyAlignment="1" applyProtection="1">
      <alignment horizontal="center"/>
      <protection hidden="1"/>
    </xf>
    <xf numFmtId="0" fontId="14" fillId="7" borderId="83" xfId="0" applyFont="1" applyFill="1" applyBorder="1" applyAlignment="1" applyProtection="1">
      <alignment horizontal="center"/>
      <protection hidden="1"/>
    </xf>
    <xf numFmtId="0" fontId="1" fillId="7" borderId="84" xfId="0" applyFont="1" applyFill="1" applyBorder="1" applyAlignment="1" applyProtection="1">
      <alignment horizontal="center" vertical="center"/>
      <protection hidden="1"/>
    </xf>
    <xf numFmtId="0" fontId="1" fillId="7" borderId="85" xfId="0" applyFont="1" applyFill="1" applyBorder="1" applyAlignment="1" applyProtection="1">
      <alignment horizontal="center" vertical="center"/>
      <protection hidden="1"/>
    </xf>
    <xf numFmtId="0" fontId="1" fillId="7" borderId="86" xfId="0" applyFont="1" applyFill="1" applyBorder="1" applyAlignment="1" applyProtection="1">
      <alignment horizontal="center" vertical="center"/>
      <protection hidden="1"/>
    </xf>
    <xf numFmtId="0" fontId="22" fillId="8" borderId="47" xfId="0" applyFont="1" applyFill="1" applyBorder="1" applyAlignment="1" applyProtection="1">
      <alignment horizontal="center" vertical="center" wrapText="1"/>
      <protection hidden="1"/>
    </xf>
    <xf numFmtId="0" fontId="22" fillId="8" borderId="25" xfId="0" applyFont="1" applyFill="1" applyBorder="1" applyAlignment="1" applyProtection="1">
      <alignment horizontal="center" vertical="center" wrapText="1"/>
      <protection hidden="1"/>
    </xf>
    <xf numFmtId="0" fontId="22" fillId="8" borderId="37" xfId="0" applyFont="1" applyFill="1" applyBorder="1" applyAlignment="1" applyProtection="1">
      <alignment horizontal="center" vertical="center" wrapText="1"/>
      <protection hidden="1"/>
    </xf>
    <xf numFmtId="0" fontId="20" fillId="2" borderId="60" xfId="0" applyFont="1" applyFill="1" applyBorder="1" applyAlignment="1" applyProtection="1">
      <alignment horizontal="center" vertical="center"/>
      <protection hidden="1"/>
    </xf>
    <xf numFmtId="0" fontId="20" fillId="2" borderId="61" xfId="0" applyFont="1" applyFill="1" applyBorder="1" applyAlignment="1" applyProtection="1">
      <alignment horizontal="center" vertical="center"/>
      <protection hidden="1"/>
    </xf>
    <xf numFmtId="0" fontId="20" fillId="2" borderId="62" xfId="0" applyFont="1" applyFill="1" applyBorder="1" applyAlignment="1" applyProtection="1">
      <alignment horizontal="center" vertical="center"/>
      <protection hidden="1"/>
    </xf>
    <xf numFmtId="0" fontId="5" fillId="7" borderId="41" xfId="0" applyFont="1" applyFill="1" applyBorder="1" applyProtection="1">
      <alignment vertical="center"/>
      <protection hidden="1"/>
    </xf>
    <xf numFmtId="0" fontId="5" fillId="7" borderId="42" xfId="0" applyFont="1" applyFill="1" applyBorder="1" applyProtection="1">
      <alignment vertical="center"/>
      <protection hidden="1"/>
    </xf>
    <xf numFmtId="0" fontId="5" fillId="7" borderId="31" xfId="0" applyFont="1" applyFill="1" applyBorder="1" applyProtection="1">
      <alignment vertical="center"/>
      <protection hidden="1"/>
    </xf>
  </cellXfs>
  <cellStyles count="2">
    <cellStyle name="표준" xfId="0" builtinId="0"/>
    <cellStyle name="하이퍼링크" xfId="1" builtinId="8"/>
  </cellStyles>
  <dxfs count="8">
    <dxf>
      <numFmt numFmtId="28" formatCode="mm:ss"/>
    </dxf>
    <dxf>
      <fill>
        <patternFill>
          <bgColor indexed="5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numFmt numFmtId="28" formatCode="mm:ss"/>
    </dxf>
    <dxf>
      <fill>
        <patternFill>
          <bgColor indexed="5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CheckBox" checked="Checked" fmlaLink="$B$17" lockText="1"/>
</file>

<file path=xl/ctrlProps/ctrlProp6.xml><?xml version="1.0" encoding="utf-8"?>
<formControlPr xmlns="http://schemas.microsoft.com/office/spreadsheetml/2009/9/main" objectType="CheckBox" checked="Checked" fmlaLink="$B$26" lockText="1"/>
</file>

<file path=xl/ctrlProps/ctrlProp7.xml><?xml version="1.0" encoding="utf-8"?>
<formControlPr xmlns="http://schemas.microsoft.com/office/spreadsheetml/2009/9/main" objectType="CheckBox" checked="Checked" fmlaLink="$B$35" lockText="1"/>
</file>

<file path=xl/ctrlProps/ctrlProp8.xml><?xml version="1.0" encoding="utf-8"?>
<formControlPr xmlns="http://schemas.microsoft.com/office/spreadsheetml/2009/9/main" objectType="CheckBox" checked="Checked" fmlaLink="$B$44" lockText="1"/>
</file>

<file path=xl/ctrlProps/ctrlProp9.xml><?xml version="1.0" encoding="utf-8"?>
<formControlPr xmlns="http://schemas.microsoft.com/office/spreadsheetml/2009/9/main" objectType="CheckBox" checked="Checked" fmlaLink="$B$53" lockText="1"/>
</file>

<file path=xl/ctrlProps/ctrlProp10.xml><?xml version="1.0" encoding="utf-8"?>
<formControlPr xmlns="http://schemas.microsoft.com/office/spreadsheetml/2009/9/main" objectType="CheckBox" checked="Checked" fmlaLink="$B$62" lockText="1"/>
</file>

<file path=xl/ctrlProps/ctrlProp11.xml><?xml version="1.0" encoding="utf-8"?>
<formControlPr xmlns="http://schemas.microsoft.com/office/spreadsheetml/2009/9/main" objectType="CheckBox" checked="Checked" fmlaLink="$B$17" lockText="1"/>
</file>

<file path=xl/ctrlProps/ctrlProp12.xml><?xml version="1.0" encoding="utf-8"?>
<formControlPr xmlns="http://schemas.microsoft.com/office/spreadsheetml/2009/9/main" objectType="CheckBox" checked="Checked" fmlaLink="$B$26" lockText="1"/>
</file>

<file path=xl/ctrlProps/ctrlProp13.xml><?xml version="1.0" encoding="utf-8"?>
<formControlPr xmlns="http://schemas.microsoft.com/office/spreadsheetml/2009/9/main" objectType="CheckBox" checked="Checked" fmlaLink="$B$35" lockText="1"/>
</file>

<file path=xl/ctrlProps/ctrlProp14.xml><?xml version="1.0" encoding="utf-8"?>
<formControlPr xmlns="http://schemas.microsoft.com/office/spreadsheetml/2009/9/main" objectType="CheckBox" checked="Checked" fmlaLink="$B$44" lockText="1"/>
</file>

<file path=xl/ctrlProps/ctrlProp15.xml><?xml version="1.0" encoding="utf-8"?>
<formControlPr xmlns="http://schemas.microsoft.com/office/spreadsheetml/2009/9/main" objectType="CheckBox" checked="Checked" fmlaLink="$B$53" lockText="1"/>
</file>

<file path=xl/ctrlProps/ctrlProp16.xml><?xml version="1.0" encoding="utf-8"?>
<formControlPr xmlns="http://schemas.microsoft.com/office/spreadsheetml/2009/9/main" objectType="CheckBox" checked="Checked" fmlaLink="$B$62" lockText="1"/>
</file>

<file path=xl/ctrlProps/ctrlProp17.xml><?xml version="1.0" encoding="utf-8"?>
<formControlPr xmlns="http://schemas.microsoft.com/office/spreadsheetml/2009/9/main" objectType="CheckBox" checked="Checked" fmlaLink="$B$17" lockText="1"/>
</file>

<file path=xl/ctrlProps/ctrlProp18.xml><?xml version="1.0" encoding="utf-8"?>
<formControlPr xmlns="http://schemas.microsoft.com/office/spreadsheetml/2009/9/main" objectType="CheckBox" checked="Checked" fmlaLink="$B$26" lockText="1"/>
</file>

<file path=xl/ctrlProps/ctrlProp19.xml><?xml version="1.0" encoding="utf-8"?>
<formControlPr xmlns="http://schemas.microsoft.com/office/spreadsheetml/2009/9/main" objectType="CheckBox" checked="Checked" fmlaLink="$B$35" lockText="1"/>
</file>

<file path=xl/ctrlProps/ctrlProp20.xml><?xml version="1.0" encoding="utf-8"?>
<formControlPr xmlns="http://schemas.microsoft.com/office/spreadsheetml/2009/9/main" objectType="CheckBox" checked="Checked" fmlaLink="$B$44" lockText="1"/>
</file>

<file path=xl/ctrlProps/ctrlProp21.xml><?xml version="1.0" encoding="utf-8"?>
<formControlPr xmlns="http://schemas.microsoft.com/office/spreadsheetml/2009/9/main" objectType="CheckBox" checked="Checked" fmlaLink="$B$53" lockText="1"/>
</file>

<file path=xl/ctrlProps/ctrlProp22.xml><?xml version="1.0" encoding="utf-8"?>
<formControlPr xmlns="http://schemas.microsoft.com/office/spreadsheetml/2009/9/main" objectType="CheckBox" checked="Checked" fmlaLink="$B$62" lockText="1"/>
</file>

<file path=xl/ctrlProps/ctrlProp23.xml><?xml version="1.0" encoding="utf-8"?>
<formControlPr xmlns="http://schemas.microsoft.com/office/spreadsheetml/2009/9/main" objectType="CheckBox" checked="Checked" fmlaLink="$B$17" lockText="1"/>
</file>

<file path=xl/ctrlProps/ctrlProp24.xml><?xml version="1.0" encoding="utf-8"?>
<formControlPr xmlns="http://schemas.microsoft.com/office/spreadsheetml/2009/9/main" objectType="CheckBox" checked="Checked" fmlaLink="$B$26" lockText="1"/>
</file>

<file path=xl/ctrlProps/ctrlProp25.xml><?xml version="1.0" encoding="utf-8"?>
<formControlPr xmlns="http://schemas.microsoft.com/office/spreadsheetml/2009/9/main" objectType="CheckBox" checked="Checked" fmlaLink="$B$35" lockText="1"/>
</file>

<file path=xl/ctrlProps/ctrlProp26.xml><?xml version="1.0" encoding="utf-8"?>
<formControlPr xmlns="http://schemas.microsoft.com/office/spreadsheetml/2009/9/main" objectType="CheckBox" checked="Checked" fmlaLink="$B$44" lockText="1"/>
</file>

<file path=xl/ctrlProps/ctrlProp27.xml><?xml version="1.0" encoding="utf-8"?>
<formControlPr xmlns="http://schemas.microsoft.com/office/spreadsheetml/2009/9/main" objectType="CheckBox" checked="Checked" fmlaLink="$B$53" lockText="1"/>
</file>

<file path=xl/ctrlProps/ctrlProp28.xml><?xml version="1.0" encoding="utf-8"?>
<formControlPr xmlns="http://schemas.microsoft.com/office/spreadsheetml/2009/9/main" objectType="CheckBox" checked="Checked" fmlaLink="$B$62" lockText="1"/>
</file>

<file path=xl/ctrlProps/ctrlProp29.xml><?xml version="1.0" encoding="utf-8"?>
<formControlPr xmlns="http://schemas.microsoft.com/office/spreadsheetml/2009/9/main" objectType="CheckBox" checked="Checked" fmlaLink="$B$17" lockText="1"/>
</file>

<file path=xl/ctrlProps/ctrlProp30.xml><?xml version="1.0" encoding="utf-8"?>
<formControlPr xmlns="http://schemas.microsoft.com/office/spreadsheetml/2009/9/main" objectType="CheckBox" checked="Checked" fmlaLink="$B$26" lockText="1"/>
</file>

<file path=xl/ctrlProps/ctrlProp31.xml><?xml version="1.0" encoding="utf-8"?>
<formControlPr xmlns="http://schemas.microsoft.com/office/spreadsheetml/2009/9/main" objectType="CheckBox" checked="Checked" fmlaLink="$B$35" lockText="1"/>
</file>

<file path=xl/ctrlProps/ctrlProp32.xml><?xml version="1.0" encoding="utf-8"?>
<formControlPr xmlns="http://schemas.microsoft.com/office/spreadsheetml/2009/9/main" objectType="CheckBox" checked="Checked" fmlaLink="$B$44" lockText="1"/>
</file>

<file path=xl/ctrlProps/ctrlProp33.xml><?xml version="1.0" encoding="utf-8"?>
<formControlPr xmlns="http://schemas.microsoft.com/office/spreadsheetml/2009/9/main" objectType="CheckBox" checked="Checked" fmlaLink="$B$53" lockText="1"/>
</file>

<file path=xl/ctrlProps/ctrlProp34.xml><?xml version="1.0" encoding="utf-8"?>
<formControlPr xmlns="http://schemas.microsoft.com/office/spreadsheetml/2009/9/main" objectType="CheckBox" checked="Checked" fmlaLink="$B$62" lockText="1"/>
</file>

<file path=xl/ctrlProps/ctrlProp35.xml><?xml version="1.0" encoding="utf-8"?>
<formControlPr xmlns="http://schemas.microsoft.com/office/spreadsheetml/2009/9/main" objectType="CheckBox" checked="Checked" fmlaLink="$B$17" lockText="1"/>
</file>

<file path=xl/ctrlProps/ctrlProp36.xml><?xml version="1.0" encoding="utf-8"?>
<formControlPr xmlns="http://schemas.microsoft.com/office/spreadsheetml/2009/9/main" objectType="CheckBox" checked="Checked" fmlaLink="$B$26" lockText="1"/>
</file>

<file path=xl/ctrlProps/ctrlProp37.xml><?xml version="1.0" encoding="utf-8"?>
<formControlPr xmlns="http://schemas.microsoft.com/office/spreadsheetml/2009/9/main" objectType="CheckBox" checked="Checked" fmlaLink="$B$35" lockText="1"/>
</file>

<file path=xl/ctrlProps/ctrlProp38.xml><?xml version="1.0" encoding="utf-8"?>
<formControlPr xmlns="http://schemas.microsoft.com/office/spreadsheetml/2009/9/main" objectType="CheckBox" checked="Checked" fmlaLink="$B$44" lockText="1"/>
</file>

<file path=xl/ctrlProps/ctrlProp39.xml><?xml version="1.0" encoding="utf-8"?>
<formControlPr xmlns="http://schemas.microsoft.com/office/spreadsheetml/2009/9/main" objectType="CheckBox" checked="Checked" fmlaLink="$B$53" lockText="1"/>
</file>

<file path=xl/ctrlProps/ctrlProp40.xml><?xml version="1.0" encoding="utf-8"?>
<formControlPr xmlns="http://schemas.microsoft.com/office/spreadsheetml/2009/9/main" objectType="CheckBox" checked="Checked" fmlaLink="$B$17" lockText="1"/>
</file>

<file path=xl/ctrlProps/ctrlProp41.xml><?xml version="1.0" encoding="utf-8"?>
<formControlPr xmlns="http://schemas.microsoft.com/office/spreadsheetml/2009/9/main" objectType="CheckBox" checked="Checked" fmlaLink="$B$26" lockText="1"/>
</file>

<file path=xl/ctrlProps/ctrlProp42.xml><?xml version="1.0" encoding="utf-8"?>
<formControlPr xmlns="http://schemas.microsoft.com/office/spreadsheetml/2009/9/main" objectType="CheckBox" checked="Checked" fmlaLink="$B$35" lockText="1"/>
</file>

<file path=xl/ctrlProps/ctrlProp43.xml><?xml version="1.0" encoding="utf-8"?>
<formControlPr xmlns="http://schemas.microsoft.com/office/spreadsheetml/2009/9/main" objectType="CheckBox" checked="Checked" fmlaLink="$B$44" lockText="1"/>
</file>

<file path=xl/ctrlProps/ctrlProp44.xml><?xml version="1.0" encoding="utf-8"?>
<formControlPr xmlns="http://schemas.microsoft.com/office/spreadsheetml/2009/9/main" objectType="CheckBox" checked="Checked" fmlaLink="$B$53" lockText="1"/>
</file>

<file path=xl/ctrlProps/ctrlProp45.xml><?xml version="1.0" encoding="utf-8"?>
<formControlPr xmlns="http://schemas.microsoft.com/office/spreadsheetml/2009/9/main" objectType="CheckBox" checked="Checked" fmlaLink="$B$17" lockText="1"/>
</file>

<file path=xl/ctrlProps/ctrlProp46.xml><?xml version="1.0" encoding="utf-8"?>
<formControlPr xmlns="http://schemas.microsoft.com/office/spreadsheetml/2009/9/main" objectType="CheckBox" checked="Checked" fmlaLink="$B$26" lockText="1"/>
</file>

<file path=xl/ctrlProps/ctrlProp47.xml><?xml version="1.0" encoding="utf-8"?>
<formControlPr xmlns="http://schemas.microsoft.com/office/spreadsheetml/2009/9/main" objectType="CheckBox" checked="Checked" fmlaLink="$B$35" lockText="1"/>
</file>

<file path=xl/ctrlProps/ctrlProp48.xml><?xml version="1.0" encoding="utf-8"?>
<formControlPr xmlns="http://schemas.microsoft.com/office/spreadsheetml/2009/9/main" objectType="CheckBox" checked="Checked" fmlaLink="$B$44" lockText="1"/>
</file>

<file path=xl/ctrlProps/ctrlProp49.xml><?xml version="1.0" encoding="utf-8"?>
<formControlPr xmlns="http://schemas.microsoft.com/office/spreadsheetml/2009/9/main" objectType="CheckBox" checked="Checked" fmlaLink="$B$53" lockText="1"/>
</file>

<file path=xl/ctrlProps/ctrlProp50.xml><?xml version="1.0" encoding="utf-8"?>
<formControlPr xmlns="http://schemas.microsoft.com/office/spreadsheetml/2009/9/main" objectType="CheckBox" checked="Checked" fmlaLink="$B$17" lockText="1"/>
</file>

<file path=xl/ctrlProps/ctrlProp51.xml><?xml version="1.0" encoding="utf-8"?>
<formControlPr xmlns="http://schemas.microsoft.com/office/spreadsheetml/2009/9/main" objectType="CheckBox" checked="Checked" fmlaLink="$B$26" lockText="1"/>
</file>

<file path=xl/ctrlProps/ctrlProp52.xml><?xml version="1.0" encoding="utf-8"?>
<formControlPr xmlns="http://schemas.microsoft.com/office/spreadsheetml/2009/9/main" objectType="CheckBox" checked="Checked" fmlaLink="$B$35" lockText="1"/>
</file>

<file path=xl/ctrlProps/ctrlProp53.xml><?xml version="1.0" encoding="utf-8"?>
<formControlPr xmlns="http://schemas.microsoft.com/office/spreadsheetml/2009/9/main" objectType="CheckBox" checked="Checked" fmlaLink="$B$44" lockText="1"/>
</file>

<file path=xl/ctrlProps/ctrlProp54.xml><?xml version="1.0" encoding="utf-8"?>
<formControlPr xmlns="http://schemas.microsoft.com/office/spreadsheetml/2009/9/main" objectType="CheckBox" checked="Checked" fmlaLink="$B$53" lockText="1"/>
</file>

<file path=xl/ctrlProps/ctrlProp55.xml><?xml version="1.0" encoding="utf-8"?>
<formControlPr xmlns="http://schemas.microsoft.com/office/spreadsheetml/2009/9/main" objectType="CheckBox" checked="Checked" fmlaLink="$B$17" lockText="1"/>
</file>

<file path=xl/ctrlProps/ctrlProp56.xml><?xml version="1.0" encoding="utf-8"?>
<formControlPr xmlns="http://schemas.microsoft.com/office/spreadsheetml/2009/9/main" objectType="CheckBox" checked="Checked" fmlaLink="$B$26" lockText="1"/>
</file>

<file path=xl/ctrlProps/ctrlProp57.xml><?xml version="1.0" encoding="utf-8"?>
<formControlPr xmlns="http://schemas.microsoft.com/office/spreadsheetml/2009/9/main" objectType="CheckBox" checked="Checked" fmlaLink="$B$35" lockText="1"/>
</file>

<file path=xl/ctrlProps/ctrlProp58.xml><?xml version="1.0" encoding="utf-8"?>
<formControlPr xmlns="http://schemas.microsoft.com/office/spreadsheetml/2009/9/main" objectType="CheckBox" checked="Checked" fmlaLink="$B$44" lockText="1"/>
</file>

<file path=xl/ctrlProps/ctrlProp59.xml><?xml version="1.0" encoding="utf-8"?>
<formControlPr xmlns="http://schemas.microsoft.com/office/spreadsheetml/2009/9/main" objectType="CheckBox" checked="Checked" fmlaLink="$B$53" lockText="1"/>
</file>

<file path=xl/ctrlProps/ctrlProp60.xml><?xml version="1.0" encoding="utf-8"?>
<formControlPr xmlns="http://schemas.microsoft.com/office/spreadsheetml/2009/9/main" objectType="CheckBox" checked="Checked" fmlaLink="$B$17" lockText="1"/>
</file>

<file path=xl/ctrlProps/ctrlProp61.xml><?xml version="1.0" encoding="utf-8"?>
<formControlPr xmlns="http://schemas.microsoft.com/office/spreadsheetml/2009/9/main" objectType="CheckBox" checked="Checked" fmlaLink="$B$26" lockText="1"/>
</file>

<file path=xl/ctrlProps/ctrlProp62.xml><?xml version="1.0" encoding="utf-8"?>
<formControlPr xmlns="http://schemas.microsoft.com/office/spreadsheetml/2009/9/main" objectType="CheckBox" checked="Checked" fmlaLink="$B$35" lockText="1"/>
</file>

<file path=xl/ctrlProps/ctrlProp63.xml><?xml version="1.0" encoding="utf-8"?>
<formControlPr xmlns="http://schemas.microsoft.com/office/spreadsheetml/2009/9/main" objectType="CheckBox" checked="Checked" fmlaLink="$B$44" lockText="1"/>
</file>

<file path=xl/ctrlProps/ctrlProp64.xml><?xml version="1.0" encoding="utf-8"?>
<formControlPr xmlns="http://schemas.microsoft.com/office/spreadsheetml/2009/9/main" objectType="CheckBox" checked="Checked" fmlaLink="$B$53" lockText="1"/>
</file>

<file path=xl/ctrlProps/ctrlProp65.xml><?xml version="1.0" encoding="utf-8"?>
<formControlPr xmlns="http://schemas.microsoft.com/office/spreadsheetml/2009/9/main" objectType="CheckBox" checked="Checked" fmlaLink="$B$17" lockText="1"/>
</file>

<file path=xl/ctrlProps/ctrlProp66.xml><?xml version="1.0" encoding="utf-8"?>
<formControlPr xmlns="http://schemas.microsoft.com/office/spreadsheetml/2009/9/main" objectType="CheckBox" checked="Checked" fmlaLink="$B$26" lockText="1"/>
</file>

<file path=xl/ctrlProps/ctrlProp67.xml><?xml version="1.0" encoding="utf-8"?>
<formControlPr xmlns="http://schemas.microsoft.com/office/spreadsheetml/2009/9/main" objectType="CheckBox" checked="Checked" fmlaLink="$B$35" lockText="1"/>
</file>

<file path=xl/ctrlProps/ctrlProp68.xml><?xml version="1.0" encoding="utf-8"?>
<formControlPr xmlns="http://schemas.microsoft.com/office/spreadsheetml/2009/9/main" objectType="CheckBox" checked="Checked" fmlaLink="$B$44" lockText="1"/>
</file>

<file path=xl/ctrlProps/ctrlProp69.xml><?xml version="1.0" encoding="utf-8"?>
<formControlPr xmlns="http://schemas.microsoft.com/office/spreadsheetml/2009/9/main" objectType="CheckBox" checked="Checked" fmlaLink="$B$53" lockText="1"/>
</file>

<file path=xl/ctrlProps/ctrlProp70.xml><?xml version="1.0" encoding="utf-8"?>
<formControlPr xmlns="http://schemas.microsoft.com/office/spreadsheetml/2009/9/main" objectType="CheckBox" checked="Checked" fmlaLink="$B$17" lockText="1"/>
</file>

<file path=xl/ctrlProps/ctrlProp71.xml><?xml version="1.0" encoding="utf-8"?>
<formControlPr xmlns="http://schemas.microsoft.com/office/spreadsheetml/2009/9/main" objectType="CheckBox" checked="Checked" fmlaLink="$B$26" lockText="1"/>
</file>

<file path=xl/ctrlProps/ctrlProp72.xml><?xml version="1.0" encoding="utf-8"?>
<formControlPr xmlns="http://schemas.microsoft.com/office/spreadsheetml/2009/9/main" objectType="CheckBox" checked="Checked" fmlaLink="$B$35" lockText="1"/>
</file>

<file path=xl/ctrlProps/ctrlProp73.xml><?xml version="1.0" encoding="utf-8"?>
<formControlPr xmlns="http://schemas.microsoft.com/office/spreadsheetml/2009/9/main" objectType="CheckBox" checked="Checked" fmlaLink="$B$44" lockText="1"/>
</file>

<file path=xl/ctrlProps/ctrlProp74.xml><?xml version="1.0" encoding="utf-8"?>
<formControlPr xmlns="http://schemas.microsoft.com/office/spreadsheetml/2009/9/main" objectType="CheckBox" checked="Checked" fmlaLink="$B$53" lockText="1"/>
</file>

<file path=xl/ctrlProps/ctrlProp75.xml><?xml version="1.0" encoding="utf-8"?>
<formControlPr xmlns="http://schemas.microsoft.com/office/spreadsheetml/2009/9/main" objectType="CheckBox" checked="Checked" fmlaLink="$B$17" lockText="1"/>
</file>

<file path=xl/ctrlProps/ctrlProp76.xml><?xml version="1.0" encoding="utf-8"?>
<formControlPr xmlns="http://schemas.microsoft.com/office/spreadsheetml/2009/9/main" objectType="CheckBox" checked="Checked" fmlaLink="$B$26" lockText="1"/>
</file>

<file path=xl/ctrlProps/ctrlProp77.xml><?xml version="1.0" encoding="utf-8"?>
<formControlPr xmlns="http://schemas.microsoft.com/office/spreadsheetml/2009/9/main" objectType="CheckBox" checked="Checked" fmlaLink="$B$35" lockText="1"/>
</file>

<file path=xl/ctrlProps/ctrlProp78.xml><?xml version="1.0" encoding="utf-8"?>
<formControlPr xmlns="http://schemas.microsoft.com/office/spreadsheetml/2009/9/main" objectType="CheckBox" checked="Checked" fmlaLink="$B$44" lockText="1"/>
</file>

<file path=xl/ctrlProps/ctrlProp79.xml><?xml version="1.0" encoding="utf-8"?>
<formControlPr xmlns="http://schemas.microsoft.com/office/spreadsheetml/2009/9/main" objectType="CheckBox" checked="Checked" fmlaLink="$B$53" lockText="1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47700;&#51064;&#54868;&#47732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47700;&#51064;&#54868;&#47732;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19050</xdr:colOff>
          <xdr:row>0</xdr:row>
          <xdr:rowOff>85725</xdr:rowOff>
        </xdr:from>
        <xdr:to>
          <xdr:col>15</xdr:col>
          <xdr:colOff>495300</xdr:colOff>
          <xdr:row>1</xdr:row>
          <xdr:rowOff>85725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FF"/>
                  </a:solidFill>
                  <a:latin typeface="돋움"/>
                  <a:ea typeface="돋움"/>
                </a:rPr>
                <a:t>종합등위정렬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1</xdr:row>
          <xdr:rowOff>285750</xdr:rowOff>
        </xdr:from>
        <xdr:to>
          <xdr:col>15</xdr:col>
          <xdr:colOff>485775</xdr:colOff>
          <xdr:row>3</xdr:row>
          <xdr:rowOff>104775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FF0000"/>
                  </a:solidFill>
                  <a:latin typeface="돋움"/>
                  <a:ea typeface="돋움"/>
                </a:rPr>
                <a:t>초기화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2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190500</xdr:colOff>
          <xdr:row>0</xdr:row>
          <xdr:rowOff>0</xdr:rowOff>
        </xdr:from>
        <xdr:to>
          <xdr:col>27</xdr:col>
          <xdr:colOff>676275</xdr:colOff>
          <xdr:row>0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3084" name="Check Box 12" descr="선택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3085" name="Check Box 13" descr="선택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3086" name="Check Box 14" descr="선택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4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3087" name="Check Box 15" descr="선택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4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3088" name="Check Box 16" descr="선택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4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9525</xdr:rowOff>
        </xdr:from>
        <xdr:to>
          <xdr:col>1</xdr:col>
          <xdr:colOff>428625</xdr:colOff>
          <xdr:row>64</xdr:row>
          <xdr:rowOff>0</xdr:rowOff>
        </xdr:to>
        <xdr:sp macro="" textlink="">
          <xdr:nvSpPr>
            <xdr:cNvPr id="3089" name="Check Box 17" descr="선택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4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295275</xdr:colOff>
      <xdr:row>0</xdr:row>
      <xdr:rowOff>19050</xdr:rowOff>
    </xdr:from>
    <xdr:to>
      <xdr:col>7</xdr:col>
      <xdr:colOff>0</xdr:colOff>
      <xdr:row>0</xdr:row>
      <xdr:rowOff>314325</xdr:rowOff>
    </xdr:to>
    <xdr:sp macro="" textlink="">
      <xdr:nvSpPr>
        <xdr:cNvPr id="9" name="Rectangle 1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2619375" y="19050"/>
          <a:ext cx="11906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 fPrintsWithSheet="0"/>
  </xdr:twoCellAnchor>
  <xdr:twoCellAnchor editAs="oneCell">
    <xdr:from>
      <xdr:col>26</xdr:col>
      <xdr:colOff>114300</xdr:colOff>
      <xdr:row>0</xdr:row>
      <xdr:rowOff>38100</xdr:rowOff>
    </xdr:from>
    <xdr:to>
      <xdr:col>28</xdr:col>
      <xdr:colOff>47625</xdr:colOff>
      <xdr:row>1</xdr:row>
      <xdr:rowOff>0</xdr:rowOff>
    </xdr:to>
    <xdr:sp macro="" textlink="">
      <xdr:nvSpPr>
        <xdr:cNvPr id="10" name="Rectangle 2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13811250" y="38100"/>
          <a:ext cx="11906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3090" name="Check Box 18" descr="선택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4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3091" name="Check Box 19" descr="선택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4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3092" name="Check Box 20" descr="선택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4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3093" name="Check Box 21" descr="선택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4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3094" name="Check Box 22" descr="선택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4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9525</xdr:rowOff>
        </xdr:from>
        <xdr:to>
          <xdr:col>1</xdr:col>
          <xdr:colOff>428625</xdr:colOff>
          <xdr:row>64</xdr:row>
          <xdr:rowOff>0</xdr:rowOff>
        </xdr:to>
        <xdr:sp macro="" textlink="">
          <xdr:nvSpPr>
            <xdr:cNvPr id="3095" name="Check Box 23" descr="선택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4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295275</xdr:colOff>
      <xdr:row>0</xdr:row>
      <xdr:rowOff>19050</xdr:rowOff>
    </xdr:from>
    <xdr:to>
      <xdr:col>7</xdr:col>
      <xdr:colOff>0</xdr:colOff>
      <xdr:row>0</xdr:row>
      <xdr:rowOff>314325</xdr:rowOff>
    </xdr:to>
    <xdr:sp macro="" textlink="">
      <xdr:nvSpPr>
        <xdr:cNvPr id="17" name="Rectangle 1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rrowheads="1"/>
        </xdr:cNvSpPr>
      </xdr:nvSpPr>
      <xdr:spPr bwMode="auto">
        <a:xfrm>
          <a:off x="2619375" y="19050"/>
          <a:ext cx="11906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3212" name="Check Box 140" descr="선택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4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3213" name="Check Box 141" descr="선택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4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3214" name="Check Box 142" descr="선택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4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3215" name="Check Box 143" descr="선택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4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3216" name="Check Box 144" descr="선택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4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9525</xdr:rowOff>
        </xdr:from>
        <xdr:to>
          <xdr:col>1</xdr:col>
          <xdr:colOff>428625</xdr:colOff>
          <xdr:row>64</xdr:row>
          <xdr:rowOff>0</xdr:rowOff>
        </xdr:to>
        <xdr:sp macro="" textlink="">
          <xdr:nvSpPr>
            <xdr:cNvPr id="3217" name="Check Box 145" descr="선택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4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295275</xdr:colOff>
      <xdr:row>0</xdr:row>
      <xdr:rowOff>19050</xdr:rowOff>
    </xdr:from>
    <xdr:to>
      <xdr:col>7</xdr:col>
      <xdr:colOff>0</xdr:colOff>
      <xdr:row>0</xdr:row>
      <xdr:rowOff>314325</xdr:rowOff>
    </xdr:to>
    <xdr:sp macro="" textlink="">
      <xdr:nvSpPr>
        <xdr:cNvPr id="24" name="Rectangle 1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2619375" y="19050"/>
          <a:ext cx="11906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3218" name="Check Box 146" descr="선택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4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3219" name="Check Box 147" descr="선택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4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3220" name="Check Box 148" descr="선택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4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3221" name="Check Box 149" descr="선택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4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3222" name="Check Box 150" descr="선택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4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9525</xdr:rowOff>
        </xdr:from>
        <xdr:to>
          <xdr:col>1</xdr:col>
          <xdr:colOff>428625</xdr:colOff>
          <xdr:row>64</xdr:row>
          <xdr:rowOff>0</xdr:rowOff>
        </xdr:to>
        <xdr:sp macro="" textlink="">
          <xdr:nvSpPr>
            <xdr:cNvPr id="3223" name="Check Box 151" descr="선택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4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295275</xdr:colOff>
      <xdr:row>0</xdr:row>
      <xdr:rowOff>19050</xdr:rowOff>
    </xdr:from>
    <xdr:to>
      <xdr:col>7</xdr:col>
      <xdr:colOff>0</xdr:colOff>
      <xdr:row>0</xdr:row>
      <xdr:rowOff>314325</xdr:rowOff>
    </xdr:to>
    <xdr:sp macro="" textlink="">
      <xdr:nvSpPr>
        <xdr:cNvPr id="31" name="Rectangle 1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8BC17-50AB-4A53-B585-C4560340328D}"/>
            </a:ext>
          </a:extLst>
        </xdr:cNvPr>
        <xdr:cNvSpPr>
          <a:spLocks noChangeArrowheads="1"/>
        </xdr:cNvSpPr>
      </xdr:nvSpPr>
      <xdr:spPr bwMode="auto">
        <a:xfrm>
          <a:off x="2360295" y="19050"/>
          <a:ext cx="10763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2</xdr:col>
          <xdr:colOff>0</xdr:colOff>
          <xdr:row>19</xdr:row>
          <xdr:rowOff>57150</xdr:rowOff>
        </xdr:to>
        <xdr:sp macro="" textlink="">
          <xdr:nvSpPr>
            <xdr:cNvPr id="3224" name="Check Box 152" descr="선택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1C721496-B852-4B84-A376-364DE49D9F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2</xdr:col>
          <xdr:colOff>0</xdr:colOff>
          <xdr:row>28</xdr:row>
          <xdr:rowOff>104775</xdr:rowOff>
        </xdr:to>
        <xdr:sp macro="" textlink="">
          <xdr:nvSpPr>
            <xdr:cNvPr id="3225" name="Check Box 153" descr="선택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EC508054-1AB5-46BA-A410-929B10EA8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2</xdr:col>
          <xdr:colOff>0</xdr:colOff>
          <xdr:row>37</xdr:row>
          <xdr:rowOff>104775</xdr:rowOff>
        </xdr:to>
        <xdr:sp macro="" textlink="">
          <xdr:nvSpPr>
            <xdr:cNvPr id="3226" name="Check Box 154" descr="선택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2CC55EF9-8A48-4E2F-9781-48B71F9B06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2</xdr:col>
          <xdr:colOff>0</xdr:colOff>
          <xdr:row>46</xdr:row>
          <xdr:rowOff>57150</xdr:rowOff>
        </xdr:to>
        <xdr:sp macro="" textlink="">
          <xdr:nvSpPr>
            <xdr:cNvPr id="3227" name="Check Box 155" descr="선택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258AB97F-A7FD-427C-BD5D-5782DC052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2</xdr:col>
          <xdr:colOff>0</xdr:colOff>
          <xdr:row>55</xdr:row>
          <xdr:rowOff>104775</xdr:rowOff>
        </xdr:to>
        <xdr:sp macro="" textlink="">
          <xdr:nvSpPr>
            <xdr:cNvPr id="3228" name="Check Box 156" descr="선택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E8A81CBA-3CF9-4E30-AF78-753268CFCD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9525</xdr:rowOff>
        </xdr:from>
        <xdr:to>
          <xdr:col>2</xdr:col>
          <xdr:colOff>0</xdr:colOff>
          <xdr:row>64</xdr:row>
          <xdr:rowOff>0</xdr:rowOff>
        </xdr:to>
        <xdr:sp macro="" textlink="">
          <xdr:nvSpPr>
            <xdr:cNvPr id="3229" name="Check Box 157" descr="선택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92945DE1-C48D-49B8-B808-1B5E39D9D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145" name="Check Box 1" descr="선택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146" name="Check Box 2" descr="선택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147" name="Check Box 3" descr="선택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148" name="Check Box 4" descr="선택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149" name="Check Box 5" descr="선택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295275</xdr:colOff>
      <xdr:row>0</xdr:row>
      <xdr:rowOff>19050</xdr:rowOff>
    </xdr:from>
    <xdr:to>
      <xdr:col>7</xdr:col>
      <xdr:colOff>0</xdr:colOff>
      <xdr:row>0</xdr:row>
      <xdr:rowOff>314325</xdr:rowOff>
    </xdr:to>
    <xdr:sp macro="" textlink="">
      <xdr:nvSpPr>
        <xdr:cNvPr id="7" name="Rectangle 1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2647950" y="19050"/>
          <a:ext cx="11906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 fPrintsWithSheet="0"/>
  </xdr:twoCellAnchor>
  <xdr:twoCellAnchor editAs="oneCell">
    <xdr:from>
      <xdr:col>26</xdr:col>
      <xdr:colOff>114300</xdr:colOff>
      <xdr:row>0</xdr:row>
      <xdr:rowOff>38100</xdr:rowOff>
    </xdr:from>
    <xdr:to>
      <xdr:col>28</xdr:col>
      <xdr:colOff>47625</xdr:colOff>
      <xdr:row>1</xdr:row>
      <xdr:rowOff>0</xdr:rowOff>
    </xdr:to>
    <xdr:sp macro="" textlink="">
      <xdr:nvSpPr>
        <xdr:cNvPr id="8" name="Rectangle 2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rrowheads="1"/>
        </xdr:cNvSpPr>
      </xdr:nvSpPr>
      <xdr:spPr bwMode="auto">
        <a:xfrm>
          <a:off x="13839825" y="38100"/>
          <a:ext cx="11906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150" name="Check Box 6" descr="선택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151" name="Check Box 7" descr="선택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152" name="Check Box 8" descr="선택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153" name="Check Box 9" descr="선택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154" name="Check Box 10" descr="선택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295275</xdr:colOff>
      <xdr:row>0</xdr:row>
      <xdr:rowOff>19050</xdr:rowOff>
    </xdr:from>
    <xdr:to>
      <xdr:col>7</xdr:col>
      <xdr:colOff>0</xdr:colOff>
      <xdr:row>0</xdr:row>
      <xdr:rowOff>314325</xdr:rowOff>
    </xdr:to>
    <xdr:sp macro="" textlink="">
      <xdr:nvSpPr>
        <xdr:cNvPr id="14" name="Rectangle 1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rrowheads="1"/>
        </xdr:cNvSpPr>
      </xdr:nvSpPr>
      <xdr:spPr bwMode="auto">
        <a:xfrm>
          <a:off x="2647950" y="19050"/>
          <a:ext cx="11906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271" name="Check Box 127" descr="선택" hidden="1">
              <a:extLst>
                <a:ext uri="{63B3BB69-23CF-44E3-9099-C40C66FF867C}">
                  <a14:compatExt spid="_x0000_s6271"/>
                </a:ext>
                <a:ext uri="{FF2B5EF4-FFF2-40B4-BE49-F238E27FC236}">
                  <a16:creationId xmlns:a16="http://schemas.microsoft.com/office/drawing/2014/main" id="{00000000-0008-0000-0500-00007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272" name="Check Box 128" descr="선택" hidden="1">
              <a:extLst>
                <a:ext uri="{63B3BB69-23CF-44E3-9099-C40C66FF867C}">
                  <a14:compatExt spid="_x0000_s6272"/>
                </a:ext>
                <a:ext uri="{FF2B5EF4-FFF2-40B4-BE49-F238E27FC236}">
                  <a16:creationId xmlns:a16="http://schemas.microsoft.com/office/drawing/2014/main" id="{00000000-0008-0000-0500-00008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273" name="Check Box 129" descr="선택" hidden="1">
              <a:extLst>
                <a:ext uri="{63B3BB69-23CF-44E3-9099-C40C66FF867C}">
                  <a14:compatExt spid="_x0000_s6273"/>
                </a:ext>
                <a:ext uri="{FF2B5EF4-FFF2-40B4-BE49-F238E27FC236}">
                  <a16:creationId xmlns:a16="http://schemas.microsoft.com/office/drawing/2014/main" id="{00000000-0008-0000-0500-00008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274" name="Check Box 130" descr="선택" hidden="1">
              <a:extLst>
                <a:ext uri="{63B3BB69-23CF-44E3-9099-C40C66FF867C}">
                  <a14:compatExt spid="_x0000_s6274"/>
                </a:ext>
                <a:ext uri="{FF2B5EF4-FFF2-40B4-BE49-F238E27FC236}">
                  <a16:creationId xmlns:a16="http://schemas.microsoft.com/office/drawing/2014/main" id="{00000000-0008-0000-0500-00008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275" name="Check Box 131" descr="선택" hidden="1">
              <a:extLst>
                <a:ext uri="{63B3BB69-23CF-44E3-9099-C40C66FF867C}">
                  <a14:compatExt spid="_x0000_s6275"/>
                </a:ext>
                <a:ext uri="{FF2B5EF4-FFF2-40B4-BE49-F238E27FC236}">
                  <a16:creationId xmlns:a16="http://schemas.microsoft.com/office/drawing/2014/main" id="{00000000-0008-0000-0500-00008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276" name="Check Box 132" descr="선택" hidden="1">
              <a:extLst>
                <a:ext uri="{63B3BB69-23CF-44E3-9099-C40C66FF867C}">
                  <a14:compatExt spid="_x0000_s6276"/>
                </a:ext>
                <a:ext uri="{FF2B5EF4-FFF2-40B4-BE49-F238E27FC236}">
                  <a16:creationId xmlns:a16="http://schemas.microsoft.com/office/drawing/2014/main" id="{00000000-0008-0000-0500-00008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277" name="Check Box 133" descr="선택" hidden="1">
              <a:extLst>
                <a:ext uri="{63B3BB69-23CF-44E3-9099-C40C66FF867C}">
                  <a14:compatExt spid="_x0000_s6277"/>
                </a:ext>
                <a:ext uri="{FF2B5EF4-FFF2-40B4-BE49-F238E27FC236}">
                  <a16:creationId xmlns:a16="http://schemas.microsoft.com/office/drawing/2014/main" id="{00000000-0008-0000-0500-00008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278" name="Check Box 134" descr="선택" hidden="1">
              <a:extLst>
                <a:ext uri="{63B3BB69-23CF-44E3-9099-C40C66FF867C}">
                  <a14:compatExt spid="_x0000_s6278"/>
                </a:ext>
                <a:ext uri="{FF2B5EF4-FFF2-40B4-BE49-F238E27FC236}">
                  <a16:creationId xmlns:a16="http://schemas.microsoft.com/office/drawing/2014/main" id="{00000000-0008-0000-0500-00008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279" name="Check Box 135" descr="선택" hidden="1">
              <a:extLst>
                <a:ext uri="{63B3BB69-23CF-44E3-9099-C40C66FF867C}">
                  <a14:compatExt spid="_x0000_s6279"/>
                </a:ext>
                <a:ext uri="{FF2B5EF4-FFF2-40B4-BE49-F238E27FC236}">
                  <a16:creationId xmlns:a16="http://schemas.microsoft.com/office/drawing/2014/main" id="{00000000-0008-0000-0500-00008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280" name="Check Box 136" descr="선택" hidden="1">
              <a:extLst>
                <a:ext uri="{63B3BB69-23CF-44E3-9099-C40C66FF867C}">
                  <a14:compatExt spid="_x0000_s6280"/>
                </a:ext>
                <a:ext uri="{FF2B5EF4-FFF2-40B4-BE49-F238E27FC236}">
                  <a16:creationId xmlns:a16="http://schemas.microsoft.com/office/drawing/2014/main" id="{00000000-0008-0000-0500-00008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281" name="Check Box 137" descr="선택" hidden="1">
              <a:extLst>
                <a:ext uri="{63B3BB69-23CF-44E3-9099-C40C66FF867C}">
                  <a14:compatExt spid="_x0000_s6281"/>
                </a:ext>
                <a:ext uri="{FF2B5EF4-FFF2-40B4-BE49-F238E27FC236}">
                  <a16:creationId xmlns:a16="http://schemas.microsoft.com/office/drawing/2014/main" id="{00000000-0008-0000-0500-00008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282" name="Check Box 138" descr="선택" hidden="1">
              <a:extLst>
                <a:ext uri="{63B3BB69-23CF-44E3-9099-C40C66FF867C}">
                  <a14:compatExt spid="_x0000_s6282"/>
                </a:ext>
                <a:ext uri="{FF2B5EF4-FFF2-40B4-BE49-F238E27FC236}">
                  <a16:creationId xmlns:a16="http://schemas.microsoft.com/office/drawing/2014/main" id="{00000000-0008-0000-0500-00008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283" name="Check Box 139" descr="선택" hidden="1">
              <a:extLst>
                <a:ext uri="{63B3BB69-23CF-44E3-9099-C40C66FF867C}">
                  <a14:compatExt spid="_x0000_s6283"/>
                </a:ext>
                <a:ext uri="{FF2B5EF4-FFF2-40B4-BE49-F238E27FC236}">
                  <a16:creationId xmlns:a16="http://schemas.microsoft.com/office/drawing/2014/main" id="{00000000-0008-0000-0500-00008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284" name="Check Box 140" descr="선택" hidden="1">
              <a:extLst>
                <a:ext uri="{63B3BB69-23CF-44E3-9099-C40C66FF867C}">
                  <a14:compatExt spid="_x0000_s6284"/>
                </a:ext>
                <a:ext uri="{FF2B5EF4-FFF2-40B4-BE49-F238E27FC236}">
                  <a16:creationId xmlns:a16="http://schemas.microsoft.com/office/drawing/2014/main" id="{00000000-0008-0000-0500-00008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285" name="Check Box 141" descr="선택" hidden="1">
              <a:extLst>
                <a:ext uri="{63B3BB69-23CF-44E3-9099-C40C66FF867C}">
                  <a14:compatExt spid="_x0000_s6285"/>
                </a:ext>
                <a:ext uri="{FF2B5EF4-FFF2-40B4-BE49-F238E27FC236}">
                  <a16:creationId xmlns:a16="http://schemas.microsoft.com/office/drawing/2014/main" id="{00000000-0008-0000-0500-00008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286" name="Check Box 142" descr="선택" hidden="1">
              <a:extLst>
                <a:ext uri="{63B3BB69-23CF-44E3-9099-C40C66FF867C}">
                  <a14:compatExt spid="_x0000_s6286"/>
                </a:ext>
                <a:ext uri="{FF2B5EF4-FFF2-40B4-BE49-F238E27FC236}">
                  <a16:creationId xmlns:a16="http://schemas.microsoft.com/office/drawing/2014/main" id="{00000000-0008-0000-0500-00008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287" name="Check Box 143" descr="선택" hidden="1">
              <a:extLst>
                <a:ext uri="{63B3BB69-23CF-44E3-9099-C40C66FF867C}">
                  <a14:compatExt spid="_x0000_s6287"/>
                </a:ext>
                <a:ext uri="{FF2B5EF4-FFF2-40B4-BE49-F238E27FC236}">
                  <a16:creationId xmlns:a16="http://schemas.microsoft.com/office/drawing/2014/main" id="{00000000-0008-0000-0500-00008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288" name="Check Box 144" descr="선택" hidden="1">
              <a:extLst>
                <a:ext uri="{63B3BB69-23CF-44E3-9099-C40C66FF867C}">
                  <a14:compatExt spid="_x0000_s6288"/>
                </a:ext>
                <a:ext uri="{FF2B5EF4-FFF2-40B4-BE49-F238E27FC236}">
                  <a16:creationId xmlns:a16="http://schemas.microsoft.com/office/drawing/2014/main" id="{00000000-0008-0000-0500-00009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289" name="Check Box 145" descr="선택" hidden="1">
              <a:extLst>
                <a:ext uri="{63B3BB69-23CF-44E3-9099-C40C66FF867C}">
                  <a14:compatExt spid="_x0000_s6289"/>
                </a:ext>
                <a:ext uri="{FF2B5EF4-FFF2-40B4-BE49-F238E27FC236}">
                  <a16:creationId xmlns:a16="http://schemas.microsoft.com/office/drawing/2014/main" id="{00000000-0008-0000-0500-00009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290" name="Check Box 146" descr="선택" hidden="1">
              <a:extLst>
                <a:ext uri="{63B3BB69-23CF-44E3-9099-C40C66FF867C}">
                  <a14:compatExt spid="_x0000_s6290"/>
                </a:ext>
                <a:ext uri="{FF2B5EF4-FFF2-40B4-BE49-F238E27FC236}">
                  <a16:creationId xmlns:a16="http://schemas.microsoft.com/office/drawing/2014/main" id="{00000000-0008-0000-0500-00009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291" name="Check Box 147" descr="선택" hidden="1">
              <a:extLst>
                <a:ext uri="{63B3BB69-23CF-44E3-9099-C40C66FF867C}">
                  <a14:compatExt spid="_x0000_s6291"/>
                </a:ext>
                <a:ext uri="{FF2B5EF4-FFF2-40B4-BE49-F238E27FC236}">
                  <a16:creationId xmlns:a16="http://schemas.microsoft.com/office/drawing/2014/main" id="{00000000-0008-0000-0500-00009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292" name="Check Box 148" descr="선택" hidden="1">
              <a:extLst>
                <a:ext uri="{63B3BB69-23CF-44E3-9099-C40C66FF867C}">
                  <a14:compatExt spid="_x0000_s6292"/>
                </a:ext>
                <a:ext uri="{FF2B5EF4-FFF2-40B4-BE49-F238E27FC236}">
                  <a16:creationId xmlns:a16="http://schemas.microsoft.com/office/drawing/2014/main" id="{00000000-0008-0000-0500-00009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293" name="Check Box 149" descr="선택" hidden="1">
              <a:extLst>
                <a:ext uri="{63B3BB69-23CF-44E3-9099-C40C66FF867C}">
                  <a14:compatExt spid="_x0000_s6293"/>
                </a:ext>
                <a:ext uri="{FF2B5EF4-FFF2-40B4-BE49-F238E27FC236}">
                  <a16:creationId xmlns:a16="http://schemas.microsoft.com/office/drawing/2014/main" id="{00000000-0008-0000-0500-00009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294" name="Check Box 150" descr="선택" hidden="1">
              <a:extLst>
                <a:ext uri="{63B3BB69-23CF-44E3-9099-C40C66FF867C}">
                  <a14:compatExt spid="_x0000_s6294"/>
                </a:ext>
                <a:ext uri="{FF2B5EF4-FFF2-40B4-BE49-F238E27FC236}">
                  <a16:creationId xmlns:a16="http://schemas.microsoft.com/office/drawing/2014/main" id="{00000000-0008-0000-0500-00009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295" name="Check Box 151" descr="선택" hidden="1">
              <a:extLst>
                <a:ext uri="{63B3BB69-23CF-44E3-9099-C40C66FF867C}">
                  <a14:compatExt spid="_x0000_s6295"/>
                </a:ext>
                <a:ext uri="{FF2B5EF4-FFF2-40B4-BE49-F238E27FC236}">
                  <a16:creationId xmlns:a16="http://schemas.microsoft.com/office/drawing/2014/main" id="{00000000-0008-0000-0500-00009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1</xdr:col>
          <xdr:colOff>438150</xdr:colOff>
          <xdr:row>19</xdr:row>
          <xdr:rowOff>57150</xdr:rowOff>
        </xdr:to>
        <xdr:sp macro="" textlink="">
          <xdr:nvSpPr>
            <xdr:cNvPr id="6296" name="Check Box 152" descr="선택" hidden="1">
              <a:extLst>
                <a:ext uri="{63B3BB69-23CF-44E3-9099-C40C66FF867C}">
                  <a14:compatExt spid="_x0000_s6296"/>
                </a:ext>
                <a:ext uri="{FF2B5EF4-FFF2-40B4-BE49-F238E27FC236}">
                  <a16:creationId xmlns:a16="http://schemas.microsoft.com/office/drawing/2014/main" id="{00000000-0008-0000-0500-00009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1</xdr:col>
          <xdr:colOff>428625</xdr:colOff>
          <xdr:row>28</xdr:row>
          <xdr:rowOff>104775</xdr:rowOff>
        </xdr:to>
        <xdr:sp macro="" textlink="">
          <xdr:nvSpPr>
            <xdr:cNvPr id="6297" name="Check Box 153" descr="선택" hidden="1">
              <a:extLst>
                <a:ext uri="{63B3BB69-23CF-44E3-9099-C40C66FF867C}">
                  <a14:compatExt spid="_x0000_s6297"/>
                </a:ext>
                <a:ext uri="{FF2B5EF4-FFF2-40B4-BE49-F238E27FC236}">
                  <a16:creationId xmlns:a16="http://schemas.microsoft.com/office/drawing/2014/main" id="{00000000-0008-0000-0500-00009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1</xdr:col>
          <xdr:colOff>428625</xdr:colOff>
          <xdr:row>37</xdr:row>
          <xdr:rowOff>104775</xdr:rowOff>
        </xdr:to>
        <xdr:sp macro="" textlink="">
          <xdr:nvSpPr>
            <xdr:cNvPr id="6298" name="Check Box 154" descr="선택" hidden="1">
              <a:extLst>
                <a:ext uri="{63B3BB69-23CF-44E3-9099-C40C66FF867C}">
                  <a14:compatExt spid="_x0000_s6298"/>
                </a:ext>
                <a:ext uri="{FF2B5EF4-FFF2-40B4-BE49-F238E27FC236}">
                  <a16:creationId xmlns:a16="http://schemas.microsoft.com/office/drawing/2014/main" id="{00000000-0008-0000-0500-00009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1</xdr:col>
          <xdr:colOff>428625</xdr:colOff>
          <xdr:row>46</xdr:row>
          <xdr:rowOff>57150</xdr:rowOff>
        </xdr:to>
        <xdr:sp macro="" textlink="">
          <xdr:nvSpPr>
            <xdr:cNvPr id="6299" name="Check Box 155" descr="선택" hidden="1">
              <a:extLst>
                <a:ext uri="{63B3BB69-23CF-44E3-9099-C40C66FF867C}">
                  <a14:compatExt spid="_x0000_s6299"/>
                </a:ext>
                <a:ext uri="{FF2B5EF4-FFF2-40B4-BE49-F238E27FC236}">
                  <a16:creationId xmlns:a16="http://schemas.microsoft.com/office/drawing/2014/main" id="{00000000-0008-0000-0500-00009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1</xdr:col>
          <xdr:colOff>428625</xdr:colOff>
          <xdr:row>55</xdr:row>
          <xdr:rowOff>104775</xdr:rowOff>
        </xdr:to>
        <xdr:sp macro="" textlink="">
          <xdr:nvSpPr>
            <xdr:cNvPr id="6300" name="Check Box 156" descr="선택" hidden="1">
              <a:extLst>
                <a:ext uri="{63B3BB69-23CF-44E3-9099-C40C66FF867C}">
                  <a14:compatExt spid="_x0000_s6300"/>
                </a:ext>
                <a:ext uri="{FF2B5EF4-FFF2-40B4-BE49-F238E27FC236}">
                  <a16:creationId xmlns:a16="http://schemas.microsoft.com/office/drawing/2014/main" id="{00000000-0008-0000-0500-00009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295275</xdr:colOff>
      <xdr:row>0</xdr:row>
      <xdr:rowOff>19050</xdr:rowOff>
    </xdr:from>
    <xdr:to>
      <xdr:col>7</xdr:col>
      <xdr:colOff>0</xdr:colOff>
      <xdr:row>0</xdr:row>
      <xdr:rowOff>314325</xdr:rowOff>
    </xdr:to>
    <xdr:sp macro="" textlink="">
      <xdr:nvSpPr>
        <xdr:cNvPr id="45" name="Rectangle 1" descr="인쇄 용지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276C5-7C1B-497C-B914-64A494AC9797}"/>
            </a:ext>
          </a:extLst>
        </xdr:cNvPr>
        <xdr:cNvSpPr>
          <a:spLocks noChangeArrowheads="1"/>
        </xdr:cNvSpPr>
      </xdr:nvSpPr>
      <xdr:spPr bwMode="auto">
        <a:xfrm>
          <a:off x="2383155" y="19050"/>
          <a:ext cx="1076325" cy="2952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FF0000"/>
              </a:solidFill>
              <a:latin typeface="돋움"/>
              <a:ea typeface="돋움"/>
            </a:rPr>
            <a:t>메인화면으로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152400</xdr:rowOff>
        </xdr:from>
        <xdr:to>
          <xdr:col>2</xdr:col>
          <xdr:colOff>0</xdr:colOff>
          <xdr:row>19</xdr:row>
          <xdr:rowOff>57150</xdr:rowOff>
        </xdr:to>
        <xdr:sp macro="" textlink="">
          <xdr:nvSpPr>
            <xdr:cNvPr id="6301" name="Check Box 157" descr="선택" hidden="1">
              <a:extLst>
                <a:ext uri="{63B3BB69-23CF-44E3-9099-C40C66FF867C}">
                  <a14:compatExt spid="_x0000_s6301"/>
                </a:ext>
                <a:ext uri="{FF2B5EF4-FFF2-40B4-BE49-F238E27FC236}">
                  <a16:creationId xmlns:a16="http://schemas.microsoft.com/office/drawing/2014/main" id="{74CE87BA-5D3C-496B-8B2D-4C761D5374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9525</xdr:rowOff>
        </xdr:from>
        <xdr:to>
          <xdr:col>2</xdr:col>
          <xdr:colOff>0</xdr:colOff>
          <xdr:row>28</xdr:row>
          <xdr:rowOff>104775</xdr:rowOff>
        </xdr:to>
        <xdr:sp macro="" textlink="">
          <xdr:nvSpPr>
            <xdr:cNvPr id="6302" name="Check Box 158" descr="선택" hidden="1">
              <a:extLst>
                <a:ext uri="{63B3BB69-23CF-44E3-9099-C40C66FF867C}">
                  <a14:compatExt spid="_x0000_s6302"/>
                </a:ext>
                <a:ext uri="{FF2B5EF4-FFF2-40B4-BE49-F238E27FC236}">
                  <a16:creationId xmlns:a16="http://schemas.microsoft.com/office/drawing/2014/main" id="{A422F6A2-21F9-4BDF-947D-5A74A5744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2</xdr:col>
          <xdr:colOff>0</xdr:colOff>
          <xdr:row>37</xdr:row>
          <xdr:rowOff>104775</xdr:rowOff>
        </xdr:to>
        <xdr:sp macro="" textlink="">
          <xdr:nvSpPr>
            <xdr:cNvPr id="6303" name="Check Box 159" descr="선택" hidden="1">
              <a:extLst>
                <a:ext uri="{63B3BB69-23CF-44E3-9099-C40C66FF867C}">
                  <a14:compatExt spid="_x0000_s6303"/>
                </a:ext>
                <a:ext uri="{FF2B5EF4-FFF2-40B4-BE49-F238E27FC236}">
                  <a16:creationId xmlns:a16="http://schemas.microsoft.com/office/drawing/2014/main" id="{4020F46A-E96D-4B35-BFDE-0CD3673D4F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2</xdr:col>
          <xdr:colOff>0</xdr:colOff>
          <xdr:row>46</xdr:row>
          <xdr:rowOff>57150</xdr:rowOff>
        </xdr:to>
        <xdr:sp macro="" textlink="">
          <xdr:nvSpPr>
            <xdr:cNvPr id="6304" name="Check Box 160" descr="선택" hidden="1">
              <a:extLst>
                <a:ext uri="{63B3BB69-23CF-44E3-9099-C40C66FF867C}">
                  <a14:compatExt spid="_x0000_s6304"/>
                </a:ext>
                <a:ext uri="{FF2B5EF4-FFF2-40B4-BE49-F238E27FC236}">
                  <a16:creationId xmlns:a16="http://schemas.microsoft.com/office/drawing/2014/main" id="{BBBD5BB8-23EB-447D-9524-C99FE4090B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2</xdr:col>
          <xdr:colOff>0</xdr:colOff>
          <xdr:row>55</xdr:row>
          <xdr:rowOff>104775</xdr:rowOff>
        </xdr:to>
        <xdr:sp macro="" textlink="">
          <xdr:nvSpPr>
            <xdr:cNvPr id="6305" name="Check Box 161" descr="선택" hidden="1">
              <a:extLst>
                <a:ext uri="{63B3BB69-23CF-44E3-9099-C40C66FF867C}">
                  <a14:compatExt spid="_x0000_s6305"/>
                </a:ext>
                <a:ext uri="{FF2B5EF4-FFF2-40B4-BE49-F238E27FC236}">
                  <a16:creationId xmlns:a16="http://schemas.microsoft.com/office/drawing/2014/main" id="{968B42EB-1526-4A50-BAB8-90DC3A57D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선택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THLETICS(23.6.23)/&#45824;&#54924;&#52292;&#51216;&#54364;/&#44368;&#50977;&#44048;&#44592;&#44396;&#44036;&#47560;&#46972;&#53668;&#45824;&#54924;/2023&#45380;/&#44396;&#44036;&#47560;&#46972;&#53668;/(&#52488;&#46321;&#48512;)2019&#44368;&#50977;&#44048;&#44592;&#47560;&#46972;&#5366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THLETICS(23.6.23)/&#45824;&#54924;&#52292;&#51216;&#54364;/&#44368;&#50977;&#44048;&#44592;&#44396;&#44036;&#47560;&#46972;&#53668;&#45824;&#54924;/2023&#45380;/&#44396;&#44036;&#47560;&#46972;&#53668;/(&#51473;&#46321;&#48512;)2019&#44368;&#50977;&#44048;&#44592;&#47560;&#46972;&#53668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THLETICS(23.6.23)/&#45824;&#54924;&#52292;&#51216;&#54364;/&#44368;&#50977;&#44048;&#44592;&#44396;&#44036;&#47560;&#46972;&#53668;&#45824;&#54924;/2023&#45380;/&#44396;&#44036;&#47560;&#46972;&#53668;/(&#52488;&#46321;&#48512;)2017&#44368;&#50977;&#44048;&#44592;&#47560;&#46972;&#5366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THLETICS(23.6.23)/&#45824;&#54924;&#52292;&#51216;&#54364;/&#44368;&#50977;&#44048;&#44592;&#44396;&#44036;&#47560;&#46972;&#53668;&#45824;&#54924;/2023&#45380;/&#44396;&#44036;&#47560;&#46972;&#53668;/(&#51473;&#46321;&#48512;)2017&#44368;&#50977;&#44048;&#44592;&#47560;&#46972;&#536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인화면"/>
      <sheetName val="선수명단"/>
      <sheetName val="선수소집"/>
      <sheetName val="초등부자료입력"/>
      <sheetName val="종합등위"/>
      <sheetName val="기록용지"/>
      <sheetName val="Chart1"/>
      <sheetName val="기록(1소구)"/>
      <sheetName val="기록(2소구)"/>
      <sheetName val="기록(3소구)"/>
      <sheetName val="기록(4소구)"/>
      <sheetName val="기록(5소구)"/>
      <sheetName val="기록(6소구)"/>
      <sheetName val="기록(7소구)"/>
      <sheetName val="1소구"/>
      <sheetName val="2소구"/>
      <sheetName val="3소구"/>
      <sheetName val="4소구"/>
      <sheetName val="5소구"/>
      <sheetName val="6소구"/>
      <sheetName val="7소구"/>
    </sheetNames>
    <sheetDataSet>
      <sheetData sheetId="0"/>
      <sheetData sheetId="1"/>
      <sheetData sheetId="2"/>
      <sheetData sheetId="3"/>
      <sheetData sheetId="4">
        <row r="3">
          <cell r="B3">
            <v>1</v>
          </cell>
          <cell r="C3" t="str">
            <v>영천</v>
          </cell>
          <cell r="K3">
            <v>4.1435184518518513E-2</v>
          </cell>
          <cell r="M3">
            <v>15.888268412057059</v>
          </cell>
        </row>
        <row r="4">
          <cell r="B4">
            <v>2</v>
          </cell>
          <cell r="C4" t="str">
            <v>경주</v>
          </cell>
          <cell r="K4">
            <v>4.2418980888888888E-2</v>
          </cell>
          <cell r="M4">
            <v>15.51978193577431</v>
          </cell>
        </row>
        <row r="5">
          <cell r="B5">
            <v>3</v>
          </cell>
          <cell r="C5" t="str">
            <v>문경</v>
          </cell>
          <cell r="K5">
            <v>4.3125000888888883E-2</v>
          </cell>
          <cell r="M5">
            <v>15.265700168436458</v>
          </cell>
        </row>
        <row r="6">
          <cell r="B6">
            <v>4</v>
          </cell>
          <cell r="C6" t="str">
            <v>안동</v>
          </cell>
          <cell r="K6">
            <v>4.3379627777777777E-2</v>
          </cell>
          <cell r="M6">
            <v>15.176094564614496</v>
          </cell>
        </row>
        <row r="7">
          <cell r="B7">
            <v>5</v>
          </cell>
          <cell r="C7" t="str">
            <v>경산</v>
          </cell>
          <cell r="K7">
            <v>4.415509251851852E-2</v>
          </cell>
          <cell r="M7">
            <v>14.90956752173558</v>
          </cell>
        </row>
        <row r="8">
          <cell r="B8">
            <v>6</v>
          </cell>
          <cell r="C8" t="str">
            <v>고령</v>
          </cell>
          <cell r="K8">
            <v>4.4224537444444448E-2</v>
          </cell>
          <cell r="M8">
            <v>14.886155319551776</v>
          </cell>
        </row>
        <row r="9">
          <cell r="B9">
            <v>7</v>
          </cell>
          <cell r="C9" t="str">
            <v>상주</v>
          </cell>
          <cell r="K9">
            <v>4.4432870222222219E-2</v>
          </cell>
          <cell r="M9">
            <v>14.816358476074342</v>
          </cell>
        </row>
        <row r="10">
          <cell r="B10">
            <v>8</v>
          </cell>
          <cell r="C10" t="str">
            <v>김천</v>
          </cell>
          <cell r="K10">
            <v>4.4606480777777777E-2</v>
          </cell>
          <cell r="M10">
            <v>14.758692500604178</v>
          </cell>
        </row>
        <row r="11">
          <cell r="B11">
            <v>9</v>
          </cell>
          <cell r="C11" t="str">
            <v>영주</v>
          </cell>
          <cell r="K11">
            <v>4.4803240222222221E-2</v>
          </cell>
          <cell r="M11">
            <v>14.693877721076136</v>
          </cell>
        </row>
        <row r="12">
          <cell r="B12">
            <v>10</v>
          </cell>
          <cell r="C12" t="str">
            <v>구미</v>
          </cell>
          <cell r="K12">
            <v>4.5613426259259258E-2</v>
          </cell>
          <cell r="M12">
            <v>14.432884949082192</v>
          </cell>
        </row>
        <row r="13">
          <cell r="B13">
            <v>11</v>
          </cell>
          <cell r="C13" t="str">
            <v>칠곡</v>
          </cell>
          <cell r="K13">
            <v>4.7997684814814812E-2</v>
          </cell>
          <cell r="M13">
            <v>13.715939339018583</v>
          </cell>
        </row>
        <row r="14">
          <cell r="B14">
            <v>12</v>
          </cell>
          <cell r="C14" t="str">
            <v>포항</v>
          </cell>
          <cell r="K14">
            <v>4.8437498740740742E-2</v>
          </cell>
          <cell r="M14">
            <v>13.591398202806241</v>
          </cell>
        </row>
        <row r="15">
          <cell r="B15">
            <v>13</v>
          </cell>
          <cell r="C15" t="str">
            <v>영덕</v>
          </cell>
          <cell r="K15">
            <v>4.8645833444444446E-2</v>
          </cell>
          <cell r="M15">
            <v>13.53319054724753</v>
          </cell>
        </row>
        <row r="16">
          <cell r="B16">
            <v>14</v>
          </cell>
          <cell r="C16" t="str">
            <v>예천</v>
          </cell>
          <cell r="K16">
            <v>4.930555655555556E-2</v>
          </cell>
          <cell r="M16">
            <v>13.352112405252932</v>
          </cell>
        </row>
        <row r="17">
          <cell r="B17">
            <v>15</v>
          </cell>
          <cell r="C17" t="str">
            <v>봉화</v>
          </cell>
          <cell r="K17">
            <v>5.074074033333334E-2</v>
          </cell>
          <cell r="M17">
            <v>12.974452658918961</v>
          </cell>
        </row>
        <row r="18">
          <cell r="B18">
            <v>16</v>
          </cell>
          <cell r="C18" t="str">
            <v>청도</v>
          </cell>
          <cell r="K18">
            <v>5.1365739925925934E-2</v>
          </cell>
          <cell r="M18">
            <v>12.816584250177451</v>
          </cell>
        </row>
        <row r="19">
          <cell r="B19">
            <v>17</v>
          </cell>
          <cell r="C19" t="str">
            <v>영양</v>
          </cell>
          <cell r="K19">
            <v>5.305555588888889E-2</v>
          </cell>
          <cell r="M19">
            <v>12.408376885392398</v>
          </cell>
        </row>
        <row r="20">
          <cell r="B20">
            <v>18</v>
          </cell>
          <cell r="C20" t="str">
            <v>군위</v>
          </cell>
          <cell r="K20">
            <v>5.3240740370370375E-2</v>
          </cell>
          <cell r="M20">
            <v>12.365217477323251</v>
          </cell>
        </row>
        <row r="21">
          <cell r="B21">
            <v>19</v>
          </cell>
          <cell r="C21" t="str">
            <v>성주</v>
          </cell>
          <cell r="K21">
            <v>5.3344907962962956E-2</v>
          </cell>
          <cell r="M21">
            <v>12.341071687487213</v>
          </cell>
        </row>
        <row r="22">
          <cell r="B22">
            <v>20</v>
          </cell>
          <cell r="C22" t="str">
            <v>울진</v>
          </cell>
          <cell r="K22">
            <v>5.4872685740740737E-2</v>
          </cell>
          <cell r="M22">
            <v>11.997468766952437</v>
          </cell>
        </row>
        <row r="23">
          <cell r="B23">
            <v>21</v>
          </cell>
          <cell r="C23" t="str">
            <v>의성</v>
          </cell>
          <cell r="K23">
            <v>5.6620370037037029E-2</v>
          </cell>
          <cell r="M23">
            <v>11.627146429857284</v>
          </cell>
        </row>
        <row r="24">
          <cell r="B24">
            <v>22</v>
          </cell>
          <cell r="C24" t="str">
            <v>청송</v>
          </cell>
          <cell r="K24">
            <v>5.708333403703704E-2</v>
          </cell>
          <cell r="M24">
            <v>11.532846573155501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인화면"/>
      <sheetName val="선수명단"/>
      <sheetName val="선수소집"/>
      <sheetName val="중등부자료입력"/>
      <sheetName val="종합등위"/>
      <sheetName val="기록용지"/>
      <sheetName val="Chart1"/>
      <sheetName val="기록(1소구)"/>
      <sheetName val="기록(2소구)"/>
      <sheetName val="기록(3소구)"/>
      <sheetName val="기록(4소구)"/>
      <sheetName val="기록(5소구)"/>
      <sheetName val="기록(6소구)"/>
      <sheetName val="기록(7소구)"/>
      <sheetName val="1소구"/>
      <sheetName val="2소구"/>
      <sheetName val="3소구"/>
      <sheetName val="4소구"/>
      <sheetName val="5소구"/>
      <sheetName val="6소구"/>
      <sheetName val="7소구"/>
    </sheetNames>
    <sheetDataSet>
      <sheetData sheetId="0"/>
      <sheetData sheetId="1"/>
      <sheetData sheetId="2"/>
      <sheetData sheetId="3"/>
      <sheetData sheetId="4">
        <row r="3">
          <cell r="B3">
            <v>1</v>
          </cell>
          <cell r="C3" t="str">
            <v>구미</v>
          </cell>
          <cell r="J3">
            <v>3.9328703925925926E-2</v>
          </cell>
          <cell r="L3">
            <v>16.739258292703429</v>
          </cell>
        </row>
        <row r="4">
          <cell r="B4">
            <v>2</v>
          </cell>
          <cell r="C4" t="str">
            <v>영천</v>
          </cell>
          <cell r="J4">
            <v>4.0081019407407409E-2</v>
          </cell>
          <cell r="L4">
            <v>16.425064608303508</v>
          </cell>
        </row>
        <row r="5">
          <cell r="B5">
            <v>3</v>
          </cell>
          <cell r="C5" t="str">
            <v>문경</v>
          </cell>
          <cell r="J5">
            <v>4.0451388222222218E-2</v>
          </cell>
          <cell r="L5">
            <v>16.274678379805863</v>
          </cell>
        </row>
        <row r="6">
          <cell r="B6">
            <v>4</v>
          </cell>
          <cell r="C6" t="str">
            <v>칠곡</v>
          </cell>
          <cell r="J6">
            <v>4.1446758666666667E-2</v>
          </cell>
          <cell r="L6">
            <v>15.883831559132139</v>
          </cell>
        </row>
        <row r="7">
          <cell r="B7">
            <v>5</v>
          </cell>
          <cell r="C7" t="str">
            <v>경주</v>
          </cell>
          <cell r="J7">
            <v>4.1921297555555549E-2</v>
          </cell>
          <cell r="L7">
            <v>15.704030450414551</v>
          </cell>
        </row>
        <row r="8">
          <cell r="B8">
            <v>6</v>
          </cell>
          <cell r="C8" t="str">
            <v>김천</v>
          </cell>
          <cell r="J8">
            <v>4.2164351888888889E-2</v>
          </cell>
          <cell r="L8">
            <v>15.613505339016413</v>
          </cell>
        </row>
        <row r="9">
          <cell r="B9">
            <v>7</v>
          </cell>
          <cell r="C9" t="str">
            <v>경산</v>
          </cell>
          <cell r="J9">
            <v>4.2465277740740742E-2</v>
          </cell>
          <cell r="L9">
            <v>15.502861828729671</v>
          </cell>
        </row>
        <row r="10">
          <cell r="B10">
            <v>8</v>
          </cell>
          <cell r="C10" t="str">
            <v>영주</v>
          </cell>
          <cell r="J10">
            <v>4.3090277148148143E-2</v>
          </cell>
          <cell r="L10">
            <v>15.278001834843758</v>
          </cell>
        </row>
        <row r="11">
          <cell r="B11">
            <v>9</v>
          </cell>
          <cell r="C11" t="str">
            <v>포항</v>
          </cell>
          <cell r="J11">
            <v>4.3344907481481482E-2</v>
          </cell>
          <cell r="L11">
            <v>15.188250975379226</v>
          </cell>
        </row>
        <row r="12">
          <cell r="B12">
            <v>10</v>
          </cell>
          <cell r="C12" t="str">
            <v>안동</v>
          </cell>
          <cell r="J12">
            <v>4.3541666777777779E-2</v>
          </cell>
          <cell r="L12">
            <v>15.11961718629763</v>
          </cell>
        </row>
        <row r="13">
          <cell r="B13">
            <v>11</v>
          </cell>
          <cell r="C13" t="str">
            <v>상주</v>
          </cell>
          <cell r="J13">
            <v>4.4444444666666666E-2</v>
          </cell>
          <cell r="L13">
            <v>14.812499925937503</v>
          </cell>
        </row>
        <row r="14">
          <cell r="B14">
            <v>12</v>
          </cell>
          <cell r="C14" t="str">
            <v>고령</v>
          </cell>
          <cell r="J14">
            <v>4.5173611518518522E-2</v>
          </cell>
          <cell r="L14">
            <v>14.573404941587535</v>
          </cell>
        </row>
        <row r="15">
          <cell r="B15">
            <v>13</v>
          </cell>
          <cell r="C15" t="str">
            <v>영덕</v>
          </cell>
          <cell r="J15">
            <v>4.7372685481481477E-2</v>
          </cell>
          <cell r="L15">
            <v>13.896897054541766</v>
          </cell>
        </row>
        <row r="16">
          <cell r="B16">
            <v>14</v>
          </cell>
          <cell r="C16" t="str">
            <v>봉화</v>
          </cell>
          <cell r="J16">
            <v>5.048611177777778E-2</v>
          </cell>
          <cell r="L16">
            <v>13.03988978654341</v>
          </cell>
        </row>
        <row r="17">
          <cell r="B17">
            <v>15</v>
          </cell>
          <cell r="C17" t="str">
            <v>의성</v>
          </cell>
          <cell r="J17">
            <v>5.0833333481481488E-2</v>
          </cell>
          <cell r="L17">
            <v>12.950819634387413</v>
          </cell>
        </row>
        <row r="18">
          <cell r="B18">
            <v>16</v>
          </cell>
          <cell r="C18" t="str">
            <v>예천</v>
          </cell>
          <cell r="J18">
            <v>5.0949073444444437E-2</v>
          </cell>
          <cell r="L18">
            <v>12.921399523608393</v>
          </cell>
        </row>
        <row r="19">
          <cell r="B19">
            <v>17</v>
          </cell>
          <cell r="C19" t="str">
            <v>울진</v>
          </cell>
          <cell r="J19">
            <v>5.1701388888888894E-2</v>
          </cell>
          <cell r="L19">
            <v>12.733378106111486</v>
          </cell>
        </row>
        <row r="20">
          <cell r="B20">
            <v>18</v>
          </cell>
          <cell r="C20" t="str">
            <v>군위</v>
          </cell>
          <cell r="J20">
            <v>5.273148111111111E-2</v>
          </cell>
          <cell r="L20">
            <v>12.484635732991299</v>
          </cell>
        </row>
        <row r="21">
          <cell r="B21">
            <v>19</v>
          </cell>
          <cell r="C21" t="str">
            <v>청도</v>
          </cell>
          <cell r="J21">
            <v>5.4837962962962963E-2</v>
          </cell>
          <cell r="L21">
            <v>12.005065428450825</v>
          </cell>
        </row>
        <row r="22">
          <cell r="B22">
            <v>20</v>
          </cell>
          <cell r="C22" t="str">
            <v>영양</v>
          </cell>
          <cell r="J22">
            <v>5.7650461629629633E-2</v>
          </cell>
          <cell r="L22">
            <v>11.419393960151412</v>
          </cell>
        </row>
        <row r="23">
          <cell r="B23">
            <v>21</v>
          </cell>
          <cell r="C23" t="str">
            <v>청송</v>
          </cell>
          <cell r="J23">
            <v>5.7962962814814813E-2</v>
          </cell>
          <cell r="L23">
            <v>11.357827505067931</v>
          </cell>
        </row>
        <row r="24">
          <cell r="B24">
            <v>22</v>
          </cell>
          <cell r="C24" t="str">
            <v>성주</v>
          </cell>
          <cell r="J24">
            <v>5.8865741333333332E-2</v>
          </cell>
          <cell r="L24">
            <v>11.183641255878406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인화면"/>
      <sheetName val="선수명단"/>
      <sheetName val="선수소집"/>
      <sheetName val="초등부자료입력"/>
      <sheetName val="종합등위"/>
      <sheetName val="기록용지"/>
      <sheetName val="Chart1"/>
      <sheetName val="기록(1소구)"/>
      <sheetName val="기록(2소구)"/>
      <sheetName val="기록(3소구)"/>
      <sheetName val="기록(4소구)"/>
      <sheetName val="기록(5소구)"/>
      <sheetName val="기록(6소구)"/>
      <sheetName val="기록(7소구)"/>
      <sheetName val="1소구"/>
      <sheetName val="2소구"/>
      <sheetName val="3소구"/>
      <sheetName val="4소구"/>
      <sheetName val="5소구"/>
      <sheetName val="6소구"/>
      <sheetName val="7소구"/>
    </sheetNames>
    <sheetDataSet>
      <sheetData sheetId="0" refreshError="1"/>
      <sheetData sheetId="1" refreshError="1"/>
      <sheetData sheetId="2" refreshError="1"/>
      <sheetData sheetId="3" refreshError="1">
        <row r="1">
          <cell r="C1">
            <v>14.350000000000001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인화면"/>
      <sheetName val="선수명단"/>
      <sheetName val="선수소집"/>
      <sheetName val="중등부자료입력"/>
      <sheetName val="종합등위"/>
      <sheetName val="기록용지"/>
      <sheetName val="Chart1"/>
      <sheetName val="기록(1소구)"/>
      <sheetName val="기록(2소구)"/>
      <sheetName val="기록(3소구)"/>
      <sheetName val="기록(4소구)"/>
      <sheetName val="기록(5소구)"/>
      <sheetName val="기록(6소구)"/>
      <sheetName val="기록(7소구)"/>
      <sheetName val="1소구"/>
      <sheetName val="2소구"/>
      <sheetName val="3소구"/>
      <sheetName val="4소구"/>
      <sheetName val="5소구"/>
      <sheetName val="6소구"/>
      <sheetName val="7소구"/>
    </sheetNames>
    <sheetDataSet>
      <sheetData sheetId="0" refreshError="1"/>
      <sheetData sheetId="1" refreshError="1"/>
      <sheetData sheetId="2" refreshError="1"/>
      <sheetData sheetId="3" refreshError="1">
        <row r="1">
          <cell r="C1">
            <v>14.350000000000001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(&#51473;&#46321;&#48512;)2013&#44368;&#50977;&#44048;&#44592;&#47560;&#46972;&#53668;.xls" TargetMode="External"/><Relationship Id="rId1" Type="http://schemas.openxmlformats.org/officeDocument/2006/relationships/hyperlink" Target="(&#52488;&#46321;&#48512;)2013&#44368;&#50977;&#44048;&#44592;&#47560;&#46972;&#53668;.xls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.xml"/><Relationship Id="rId18" Type="http://schemas.openxmlformats.org/officeDocument/2006/relationships/ctrlProp" Target="../ctrlProps/ctrlProp18.xml"/><Relationship Id="rId26" Type="http://schemas.openxmlformats.org/officeDocument/2006/relationships/ctrlProp" Target="../ctrlProps/ctrlProp2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1.xml"/><Relationship Id="rId34" Type="http://schemas.openxmlformats.org/officeDocument/2006/relationships/ctrlProp" Target="../ctrlProps/ctrlProp34.xml"/><Relationship Id="rId7" Type="http://schemas.openxmlformats.org/officeDocument/2006/relationships/ctrlProp" Target="../ctrlProps/ctrlProp7.xml"/><Relationship Id="rId12" Type="http://schemas.openxmlformats.org/officeDocument/2006/relationships/ctrlProp" Target="../ctrlProps/ctrlProp12.xml"/><Relationship Id="rId17" Type="http://schemas.openxmlformats.org/officeDocument/2006/relationships/ctrlProp" Target="../ctrlProps/ctrlProp17.xml"/><Relationship Id="rId25" Type="http://schemas.openxmlformats.org/officeDocument/2006/relationships/ctrlProp" Target="../ctrlProps/ctrlProp25.xml"/><Relationship Id="rId33" Type="http://schemas.openxmlformats.org/officeDocument/2006/relationships/ctrlProp" Target="../ctrlProps/ctrlProp33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6.xml"/><Relationship Id="rId20" Type="http://schemas.openxmlformats.org/officeDocument/2006/relationships/ctrlProp" Target="../ctrlProps/ctrlProp20.xml"/><Relationship Id="rId29" Type="http://schemas.openxmlformats.org/officeDocument/2006/relationships/ctrlProp" Target="../ctrlProps/ctrlProp29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6.xml"/><Relationship Id="rId11" Type="http://schemas.openxmlformats.org/officeDocument/2006/relationships/ctrlProp" Target="../ctrlProps/ctrlProp11.xml"/><Relationship Id="rId24" Type="http://schemas.openxmlformats.org/officeDocument/2006/relationships/ctrlProp" Target="../ctrlProps/ctrlProp24.xml"/><Relationship Id="rId32" Type="http://schemas.openxmlformats.org/officeDocument/2006/relationships/ctrlProp" Target="../ctrlProps/ctrlProp32.xml"/><Relationship Id="rId5" Type="http://schemas.openxmlformats.org/officeDocument/2006/relationships/ctrlProp" Target="../ctrlProps/ctrlProp5.xml"/><Relationship Id="rId15" Type="http://schemas.openxmlformats.org/officeDocument/2006/relationships/ctrlProp" Target="../ctrlProps/ctrlProp15.xml"/><Relationship Id="rId23" Type="http://schemas.openxmlformats.org/officeDocument/2006/relationships/ctrlProp" Target="../ctrlProps/ctrlProp23.xml"/><Relationship Id="rId28" Type="http://schemas.openxmlformats.org/officeDocument/2006/relationships/ctrlProp" Target="../ctrlProps/ctrlProp28.xml"/><Relationship Id="rId10" Type="http://schemas.openxmlformats.org/officeDocument/2006/relationships/ctrlProp" Target="../ctrlProps/ctrlProp10.xml"/><Relationship Id="rId19" Type="http://schemas.openxmlformats.org/officeDocument/2006/relationships/ctrlProp" Target="../ctrlProps/ctrlProp19.xml"/><Relationship Id="rId31" Type="http://schemas.openxmlformats.org/officeDocument/2006/relationships/ctrlProp" Target="../ctrlProps/ctrlProp31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Relationship Id="rId14" Type="http://schemas.openxmlformats.org/officeDocument/2006/relationships/ctrlProp" Target="../ctrlProps/ctrlProp14.xml"/><Relationship Id="rId22" Type="http://schemas.openxmlformats.org/officeDocument/2006/relationships/ctrlProp" Target="../ctrlProps/ctrlProp22.xml"/><Relationship Id="rId27" Type="http://schemas.openxmlformats.org/officeDocument/2006/relationships/ctrlProp" Target="../ctrlProps/ctrlProp27.xml"/><Relationship Id="rId30" Type="http://schemas.openxmlformats.org/officeDocument/2006/relationships/ctrlProp" Target="../ctrlProps/ctrlProp30.xml"/><Relationship Id="rId8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4.xml"/><Relationship Id="rId18" Type="http://schemas.openxmlformats.org/officeDocument/2006/relationships/ctrlProp" Target="../ctrlProps/ctrlProp49.xml"/><Relationship Id="rId26" Type="http://schemas.openxmlformats.org/officeDocument/2006/relationships/ctrlProp" Target="../ctrlProps/ctrlProp57.xml"/><Relationship Id="rId39" Type="http://schemas.openxmlformats.org/officeDocument/2006/relationships/ctrlProp" Target="../ctrlProps/ctrlProp70.xml"/><Relationship Id="rId21" Type="http://schemas.openxmlformats.org/officeDocument/2006/relationships/ctrlProp" Target="../ctrlProps/ctrlProp52.xml"/><Relationship Id="rId34" Type="http://schemas.openxmlformats.org/officeDocument/2006/relationships/ctrlProp" Target="../ctrlProps/ctrlProp65.xml"/><Relationship Id="rId42" Type="http://schemas.openxmlformats.org/officeDocument/2006/relationships/ctrlProp" Target="../ctrlProps/ctrlProp73.xml"/><Relationship Id="rId47" Type="http://schemas.openxmlformats.org/officeDocument/2006/relationships/ctrlProp" Target="../ctrlProps/ctrlProp78.xml"/><Relationship Id="rId7" Type="http://schemas.openxmlformats.org/officeDocument/2006/relationships/ctrlProp" Target="../ctrlProps/ctrlProp3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47.xml"/><Relationship Id="rId29" Type="http://schemas.openxmlformats.org/officeDocument/2006/relationships/ctrlProp" Target="../ctrlProps/ctrlProp6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7.xml"/><Relationship Id="rId11" Type="http://schemas.openxmlformats.org/officeDocument/2006/relationships/ctrlProp" Target="../ctrlProps/ctrlProp42.xml"/><Relationship Id="rId24" Type="http://schemas.openxmlformats.org/officeDocument/2006/relationships/ctrlProp" Target="../ctrlProps/ctrlProp55.xml"/><Relationship Id="rId32" Type="http://schemas.openxmlformats.org/officeDocument/2006/relationships/ctrlProp" Target="../ctrlProps/ctrlProp63.xml"/><Relationship Id="rId37" Type="http://schemas.openxmlformats.org/officeDocument/2006/relationships/ctrlProp" Target="../ctrlProps/ctrlProp68.xml"/><Relationship Id="rId40" Type="http://schemas.openxmlformats.org/officeDocument/2006/relationships/ctrlProp" Target="../ctrlProps/ctrlProp71.xml"/><Relationship Id="rId45" Type="http://schemas.openxmlformats.org/officeDocument/2006/relationships/ctrlProp" Target="../ctrlProps/ctrlProp76.xml"/><Relationship Id="rId5" Type="http://schemas.openxmlformats.org/officeDocument/2006/relationships/ctrlProp" Target="../ctrlProps/ctrlProp36.xml"/><Relationship Id="rId15" Type="http://schemas.openxmlformats.org/officeDocument/2006/relationships/ctrlProp" Target="../ctrlProps/ctrlProp46.xml"/><Relationship Id="rId23" Type="http://schemas.openxmlformats.org/officeDocument/2006/relationships/ctrlProp" Target="../ctrlProps/ctrlProp54.xml"/><Relationship Id="rId28" Type="http://schemas.openxmlformats.org/officeDocument/2006/relationships/ctrlProp" Target="../ctrlProps/ctrlProp59.xml"/><Relationship Id="rId36" Type="http://schemas.openxmlformats.org/officeDocument/2006/relationships/ctrlProp" Target="../ctrlProps/ctrlProp67.xml"/><Relationship Id="rId10" Type="http://schemas.openxmlformats.org/officeDocument/2006/relationships/ctrlProp" Target="../ctrlProps/ctrlProp41.xml"/><Relationship Id="rId19" Type="http://schemas.openxmlformats.org/officeDocument/2006/relationships/ctrlProp" Target="../ctrlProps/ctrlProp50.xml"/><Relationship Id="rId31" Type="http://schemas.openxmlformats.org/officeDocument/2006/relationships/ctrlProp" Target="../ctrlProps/ctrlProp62.xml"/><Relationship Id="rId44" Type="http://schemas.openxmlformats.org/officeDocument/2006/relationships/ctrlProp" Target="../ctrlProps/ctrlProp75.xml"/><Relationship Id="rId4" Type="http://schemas.openxmlformats.org/officeDocument/2006/relationships/ctrlProp" Target="../ctrlProps/ctrlProp35.xml"/><Relationship Id="rId9" Type="http://schemas.openxmlformats.org/officeDocument/2006/relationships/ctrlProp" Target="../ctrlProps/ctrlProp40.xml"/><Relationship Id="rId14" Type="http://schemas.openxmlformats.org/officeDocument/2006/relationships/ctrlProp" Target="../ctrlProps/ctrlProp45.xml"/><Relationship Id="rId22" Type="http://schemas.openxmlformats.org/officeDocument/2006/relationships/ctrlProp" Target="../ctrlProps/ctrlProp53.xml"/><Relationship Id="rId27" Type="http://schemas.openxmlformats.org/officeDocument/2006/relationships/ctrlProp" Target="../ctrlProps/ctrlProp58.xml"/><Relationship Id="rId30" Type="http://schemas.openxmlformats.org/officeDocument/2006/relationships/ctrlProp" Target="../ctrlProps/ctrlProp61.xml"/><Relationship Id="rId35" Type="http://schemas.openxmlformats.org/officeDocument/2006/relationships/ctrlProp" Target="../ctrlProps/ctrlProp66.xml"/><Relationship Id="rId43" Type="http://schemas.openxmlformats.org/officeDocument/2006/relationships/ctrlProp" Target="../ctrlProps/ctrlProp74.xml"/><Relationship Id="rId48" Type="http://schemas.openxmlformats.org/officeDocument/2006/relationships/ctrlProp" Target="../ctrlProps/ctrlProp79.xml"/><Relationship Id="rId8" Type="http://schemas.openxmlformats.org/officeDocument/2006/relationships/ctrlProp" Target="../ctrlProps/ctrlProp39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43.xml"/><Relationship Id="rId17" Type="http://schemas.openxmlformats.org/officeDocument/2006/relationships/ctrlProp" Target="../ctrlProps/ctrlProp48.xml"/><Relationship Id="rId25" Type="http://schemas.openxmlformats.org/officeDocument/2006/relationships/ctrlProp" Target="../ctrlProps/ctrlProp56.xml"/><Relationship Id="rId33" Type="http://schemas.openxmlformats.org/officeDocument/2006/relationships/ctrlProp" Target="../ctrlProps/ctrlProp64.xml"/><Relationship Id="rId38" Type="http://schemas.openxmlformats.org/officeDocument/2006/relationships/ctrlProp" Target="../ctrlProps/ctrlProp69.xml"/><Relationship Id="rId46" Type="http://schemas.openxmlformats.org/officeDocument/2006/relationships/ctrlProp" Target="../ctrlProps/ctrlProp77.xml"/><Relationship Id="rId20" Type="http://schemas.openxmlformats.org/officeDocument/2006/relationships/ctrlProp" Target="../ctrlProps/ctrlProp51.xml"/><Relationship Id="rId41" Type="http://schemas.openxmlformats.org/officeDocument/2006/relationships/ctrlProp" Target="../ctrlProps/ctrlProp7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12"/>
  </sheetPr>
  <dimension ref="A1:R36"/>
  <sheetViews>
    <sheetView showGridLines="0" showZeros="0" topLeftCell="B1" zoomScaleNormal="100" workbookViewId="0">
      <selection activeCell="D27" sqref="D27:E27"/>
    </sheetView>
  </sheetViews>
  <sheetFormatPr defaultColWidth="8.88671875" defaultRowHeight="13.5" x14ac:dyDescent="0.15"/>
  <cols>
    <col min="1" max="1" width="3.109375" style="1" hidden="1" customWidth="1"/>
    <col min="2" max="2" width="5.77734375" style="1" customWidth="1"/>
    <col min="3" max="4" width="7.77734375" style="1" customWidth="1"/>
    <col min="5" max="5" width="9.77734375" style="1" customWidth="1"/>
    <col min="6" max="6" width="5.6640625" style="1" customWidth="1"/>
    <col min="7" max="8" width="7.77734375" style="1" customWidth="1"/>
    <col min="9" max="9" width="9" style="1" customWidth="1"/>
    <col min="10" max="10" width="4.88671875" style="1" hidden="1" customWidth="1"/>
    <col min="11" max="12" width="10.5546875" style="1" customWidth="1"/>
    <col min="13" max="13" width="12.5546875" style="1" customWidth="1"/>
    <col min="14" max="14" width="10.5546875" style="1" customWidth="1"/>
    <col min="15" max="15" width="7.77734375" style="1" customWidth="1"/>
    <col min="16" max="23" width="8.109375" style="1" customWidth="1"/>
    <col min="24" max="25" width="7.77734375" style="1" customWidth="1"/>
    <col min="26" max="26" width="6.21875" style="1" customWidth="1"/>
    <col min="27" max="27" width="6.5546875" style="1" customWidth="1"/>
    <col min="28" max="16384" width="8.88671875" style="1"/>
  </cols>
  <sheetData>
    <row r="1" spans="1:16" ht="30" customHeight="1" x14ac:dyDescent="0.15">
      <c r="B1" s="145" t="s">
        <v>39</v>
      </c>
      <c r="C1" s="146"/>
      <c r="D1" s="146"/>
      <c r="E1" s="146"/>
      <c r="F1" s="156" t="s">
        <v>38</v>
      </c>
      <c r="G1" s="157"/>
      <c r="H1" s="157"/>
      <c r="I1" s="158"/>
      <c r="J1" s="98"/>
      <c r="K1" s="159" t="s">
        <v>37</v>
      </c>
      <c r="L1" s="160"/>
      <c r="M1" s="160"/>
      <c r="N1" s="161"/>
    </row>
    <row r="2" spans="1:16" ht="24" customHeight="1" x14ac:dyDescent="0.15">
      <c r="A2" s="2" t="s">
        <v>69</v>
      </c>
      <c r="B2" s="9" t="s">
        <v>4</v>
      </c>
      <c r="C2" s="10" t="s">
        <v>5</v>
      </c>
      <c r="D2" s="11" t="s">
        <v>6</v>
      </c>
      <c r="E2" s="11" t="s">
        <v>7</v>
      </c>
      <c r="F2" s="12" t="s">
        <v>4</v>
      </c>
      <c r="G2" s="10" t="s">
        <v>5</v>
      </c>
      <c r="H2" s="10" t="s">
        <v>6</v>
      </c>
      <c r="I2" s="13" t="s">
        <v>7</v>
      </c>
      <c r="J2" s="99" t="s">
        <v>0</v>
      </c>
      <c r="K2" s="97" t="s">
        <v>36</v>
      </c>
      <c r="L2" s="19" t="s">
        <v>34</v>
      </c>
      <c r="M2" s="17" t="s">
        <v>35</v>
      </c>
      <c r="N2" s="18" t="s">
        <v>8</v>
      </c>
    </row>
    <row r="3" spans="1:16" ht="15.75" customHeight="1" x14ac:dyDescent="0.15">
      <c r="A3" s="2">
        <v>1</v>
      </c>
      <c r="B3" s="86">
        <f>[1]종합등위!$B3</f>
        <v>1</v>
      </c>
      <c r="C3" s="16" t="str">
        <f>[1]종합등위!$C3</f>
        <v>영천</v>
      </c>
      <c r="D3" s="84">
        <f>[1]종합등위!$K3</f>
        <v>4.1435184518518513E-2</v>
      </c>
      <c r="E3" s="14">
        <f>[1]종합등위!$M3</f>
        <v>15.888268412057059</v>
      </c>
      <c r="F3" s="91">
        <f>[2]종합등위!$B3</f>
        <v>1</v>
      </c>
      <c r="G3" s="16" t="str">
        <f>[2]종합등위!$C3</f>
        <v>구미</v>
      </c>
      <c r="H3" s="84">
        <f>[2]종합등위!$J3</f>
        <v>3.9328703925925926E-2</v>
      </c>
      <c r="I3" s="85">
        <f>[2]종합등위!$L3</f>
        <v>16.739258292703429</v>
      </c>
      <c r="J3" s="100">
        <v>1</v>
      </c>
      <c r="K3" s="89" t="str">
        <f t="shared" ref="K3:K24" si="0">IF(M3=0,"",RANK(M3,$M$3:$M$25,2)&amp;IF(COUNTIF($M$3:$M$25,M3)&gt;=2,"("&amp;COUNTIF($M$3:$M$25,M3)&amp;")",""))</f>
        <v>12</v>
      </c>
      <c r="L3" s="21" t="s">
        <v>19</v>
      </c>
      <c r="M3" s="22">
        <f t="shared" ref="M3:M24" si="1">IF(ISERROR(VLOOKUP(L3,$C$3:$D$25,2,FALSE)),0,VLOOKUP(L3,$C$3:$D$25,2,FALSE))+IF(ISERROR(VLOOKUP(L3,$G$3:$H$25,2,FALSE)),0,VLOOKUP(L3,$G$3:$H$25,2,FALSE))</f>
        <v>9.1782406222222224E-2</v>
      </c>
      <c r="N3" s="23">
        <f t="shared" ref="N3:N24" si="2">IF(M3=0,"",$M$27/M3/24)</f>
        <v>13.029003951345524</v>
      </c>
    </row>
    <row r="4" spans="1:16" ht="15.75" customHeight="1" x14ac:dyDescent="0.15">
      <c r="A4" s="2">
        <v>2</v>
      </c>
      <c r="B4" s="86">
        <f>[1]종합등위!$B4</f>
        <v>2</v>
      </c>
      <c r="C4" s="16" t="str">
        <f>[1]종합등위!$C4</f>
        <v>경주</v>
      </c>
      <c r="D4" s="84">
        <f>[1]종합등위!$K4</f>
        <v>4.2418980888888888E-2</v>
      </c>
      <c r="E4" s="14">
        <f>[1]종합등위!$M4</f>
        <v>15.51978193577431</v>
      </c>
      <c r="F4" s="91">
        <f>[2]종합등위!$B4</f>
        <v>2</v>
      </c>
      <c r="G4" s="16" t="str">
        <f>[2]종합등위!$C4</f>
        <v>영천</v>
      </c>
      <c r="H4" s="84">
        <f>[2]종합등위!$J4</f>
        <v>4.0081019407407409E-2</v>
      </c>
      <c r="I4" s="85">
        <f>[2]종합등위!$L4</f>
        <v>16.425064608303508</v>
      </c>
      <c r="J4" s="100">
        <v>2</v>
      </c>
      <c r="K4" s="89" t="str">
        <f t="shared" si="0"/>
        <v>3</v>
      </c>
      <c r="L4" s="24" t="s">
        <v>11</v>
      </c>
      <c r="M4" s="22">
        <f t="shared" si="1"/>
        <v>8.4340278444444444E-2</v>
      </c>
      <c r="N4" s="23">
        <f t="shared" si="2"/>
        <v>14.178674239509862</v>
      </c>
    </row>
    <row r="5" spans="1:16" ht="15.75" customHeight="1" x14ac:dyDescent="0.15">
      <c r="A5" s="2">
        <v>3</v>
      </c>
      <c r="B5" s="86">
        <f>[1]종합등위!$B5</f>
        <v>3</v>
      </c>
      <c r="C5" s="16" t="str">
        <f>[1]종합등위!$C5</f>
        <v>문경</v>
      </c>
      <c r="D5" s="84">
        <f>[1]종합등위!$K5</f>
        <v>4.3125000888888883E-2</v>
      </c>
      <c r="E5" s="14">
        <f>[1]종합등위!$M5</f>
        <v>15.265700168436458</v>
      </c>
      <c r="F5" s="91">
        <f>[2]종합등위!$B5</f>
        <v>3</v>
      </c>
      <c r="G5" s="16" t="str">
        <f>[2]종합등위!$C5</f>
        <v>문경</v>
      </c>
      <c r="H5" s="84">
        <f>[2]종합등위!$J5</f>
        <v>4.0451388222222218E-2</v>
      </c>
      <c r="I5" s="85">
        <f>[2]종합등위!$L5</f>
        <v>16.274678379805863</v>
      </c>
      <c r="J5" s="100">
        <v>3</v>
      </c>
      <c r="K5" s="89" t="str">
        <f t="shared" si="0"/>
        <v>6</v>
      </c>
      <c r="L5" s="24" t="s">
        <v>13</v>
      </c>
      <c r="M5" s="22">
        <f t="shared" si="1"/>
        <v>8.6770832666666659E-2</v>
      </c>
      <c r="N5" s="23">
        <f t="shared" si="2"/>
        <v>13.781512710926391</v>
      </c>
    </row>
    <row r="6" spans="1:16" ht="15.75" customHeight="1" x14ac:dyDescent="0.15">
      <c r="A6" s="2">
        <v>4</v>
      </c>
      <c r="B6" s="86">
        <f>[1]종합등위!$B6</f>
        <v>4</v>
      </c>
      <c r="C6" s="16" t="str">
        <f>[1]종합등위!$C6</f>
        <v>안동</v>
      </c>
      <c r="D6" s="84">
        <f>[1]종합등위!$K6</f>
        <v>4.3379627777777777E-2</v>
      </c>
      <c r="E6" s="14">
        <f>[1]종합등위!$M6</f>
        <v>15.176094564614496</v>
      </c>
      <c r="F6" s="91">
        <f>[2]종합등위!$B6</f>
        <v>4</v>
      </c>
      <c r="G6" s="16" t="str">
        <f>[2]종합등위!$C6</f>
        <v>칠곡</v>
      </c>
      <c r="H6" s="84">
        <f>[2]종합등위!$J6</f>
        <v>4.1446758666666667E-2</v>
      </c>
      <c r="I6" s="85">
        <f>[2]종합등위!$L6</f>
        <v>15.883831559132139</v>
      </c>
      <c r="J6" s="100">
        <v>4</v>
      </c>
      <c r="K6" s="89" t="str">
        <f t="shared" si="0"/>
        <v>7</v>
      </c>
      <c r="L6" s="24" t="s">
        <v>16</v>
      </c>
      <c r="M6" s="22">
        <f t="shared" si="1"/>
        <v>8.6921294555555556E-2</v>
      </c>
      <c r="N6" s="23">
        <f t="shared" si="2"/>
        <v>13.757656733575445</v>
      </c>
      <c r="O6" s="154" t="s">
        <v>9</v>
      </c>
      <c r="P6" s="155"/>
    </row>
    <row r="7" spans="1:16" ht="15.75" customHeight="1" x14ac:dyDescent="0.15">
      <c r="A7" s="2">
        <v>5</v>
      </c>
      <c r="B7" s="86">
        <f>[1]종합등위!$B7</f>
        <v>5</v>
      </c>
      <c r="C7" s="16" t="str">
        <f>[1]종합등위!$C7</f>
        <v>경산</v>
      </c>
      <c r="D7" s="84">
        <f>[1]종합등위!$K7</f>
        <v>4.415509251851852E-2</v>
      </c>
      <c r="E7" s="14">
        <f>[1]종합등위!$M7</f>
        <v>14.90956752173558</v>
      </c>
      <c r="F7" s="91">
        <f>[2]종합등위!$B7</f>
        <v>5</v>
      </c>
      <c r="G7" s="16" t="str">
        <f>[2]종합등위!$C7</f>
        <v>경주</v>
      </c>
      <c r="H7" s="84">
        <f>[2]종합등위!$J7</f>
        <v>4.1921297555555549E-2</v>
      </c>
      <c r="I7" s="85">
        <f>[2]종합등위!$L7</f>
        <v>15.704030450414551</v>
      </c>
      <c r="J7" s="100">
        <v>5</v>
      </c>
      <c r="K7" s="89" t="str">
        <f t="shared" si="0"/>
        <v>4</v>
      </c>
      <c r="L7" s="24" t="s">
        <v>12</v>
      </c>
      <c r="M7" s="22">
        <f t="shared" si="1"/>
        <v>8.4942130185185177E-2</v>
      </c>
      <c r="N7" s="23">
        <f t="shared" si="2"/>
        <v>14.078212198425648</v>
      </c>
      <c r="O7" s="152" t="s">
        <v>33</v>
      </c>
      <c r="P7" s="153"/>
    </row>
    <row r="8" spans="1:16" ht="15.75" customHeight="1" x14ac:dyDescent="0.15">
      <c r="A8" s="2">
        <v>6</v>
      </c>
      <c r="B8" s="86">
        <f>[1]종합등위!$B8</f>
        <v>6</v>
      </c>
      <c r="C8" s="16" t="str">
        <f>[1]종합등위!$C8</f>
        <v>고령</v>
      </c>
      <c r="D8" s="84">
        <f>[1]종합등위!$K8</f>
        <v>4.4224537444444448E-2</v>
      </c>
      <c r="E8" s="14">
        <f>[1]종합등위!$M8</f>
        <v>14.886155319551776</v>
      </c>
      <c r="F8" s="91">
        <f>[2]종합등위!$B8</f>
        <v>6</v>
      </c>
      <c r="G8" s="16" t="str">
        <f>[2]종합등위!$C8</f>
        <v>김천</v>
      </c>
      <c r="H8" s="84">
        <f>[2]종합등위!$J8</f>
        <v>4.2164351888888889E-2</v>
      </c>
      <c r="I8" s="85">
        <f>[2]종합등위!$L8</f>
        <v>15.613505339016413</v>
      </c>
      <c r="J8" s="100">
        <v>6</v>
      </c>
      <c r="K8" s="89" t="str">
        <f t="shared" si="0"/>
        <v>8</v>
      </c>
      <c r="L8" s="24" t="s">
        <v>17</v>
      </c>
      <c r="M8" s="22">
        <f t="shared" si="1"/>
        <v>8.7893517370370364E-2</v>
      </c>
      <c r="N8" s="23">
        <f t="shared" si="2"/>
        <v>13.605478186682047</v>
      </c>
    </row>
    <row r="9" spans="1:16" ht="15.75" customHeight="1" x14ac:dyDescent="0.15">
      <c r="A9" s="2">
        <v>7</v>
      </c>
      <c r="B9" s="86">
        <f>[1]종합등위!$B9</f>
        <v>7</v>
      </c>
      <c r="C9" s="16" t="str">
        <f>[1]종합등위!$C9</f>
        <v>상주</v>
      </c>
      <c r="D9" s="84">
        <f>[1]종합등위!$K9</f>
        <v>4.4432870222222219E-2</v>
      </c>
      <c r="E9" s="14">
        <f>[1]종합등위!$M9</f>
        <v>14.816358476074342</v>
      </c>
      <c r="F9" s="91">
        <f>[2]종합등위!$B9</f>
        <v>7</v>
      </c>
      <c r="G9" s="16" t="str">
        <f>[2]종합등위!$C9</f>
        <v>경산</v>
      </c>
      <c r="H9" s="84">
        <f>[2]종합등위!$J9</f>
        <v>4.2465277740740742E-2</v>
      </c>
      <c r="I9" s="85">
        <f>[2]종합등위!$L9</f>
        <v>15.502861828729671</v>
      </c>
      <c r="J9" s="100">
        <v>7</v>
      </c>
      <c r="K9" s="89" t="str">
        <f t="shared" si="0"/>
        <v>1</v>
      </c>
      <c r="L9" s="24" t="s">
        <v>18</v>
      </c>
      <c r="M9" s="22">
        <f t="shared" si="1"/>
        <v>8.1516203925925929E-2</v>
      </c>
      <c r="N9" s="23">
        <f t="shared" si="2"/>
        <v>14.669884952199093</v>
      </c>
    </row>
    <row r="10" spans="1:16" ht="15.75" customHeight="1" x14ac:dyDescent="0.15">
      <c r="A10" s="2">
        <v>8</v>
      </c>
      <c r="B10" s="86">
        <f>[1]종합등위!$B10</f>
        <v>8</v>
      </c>
      <c r="C10" s="16" t="str">
        <f>[1]종합등위!$C10</f>
        <v>김천</v>
      </c>
      <c r="D10" s="84">
        <f>[1]종합등위!$K10</f>
        <v>4.4606480777777777E-2</v>
      </c>
      <c r="E10" s="14">
        <f>[1]종합등위!$M10</f>
        <v>14.758692500604178</v>
      </c>
      <c r="F10" s="91">
        <f>[2]종합등위!$B10</f>
        <v>8</v>
      </c>
      <c r="G10" s="16" t="str">
        <f>[2]종합등위!$C10</f>
        <v>영주</v>
      </c>
      <c r="H10" s="84">
        <f>[2]종합등위!$J10</f>
        <v>4.3090277148148143E-2</v>
      </c>
      <c r="I10" s="85">
        <f>[2]종합등위!$L10</f>
        <v>15.278001834843758</v>
      </c>
      <c r="J10" s="100">
        <v>8</v>
      </c>
      <c r="K10" s="89" t="str">
        <f t="shared" si="0"/>
        <v>9</v>
      </c>
      <c r="L10" s="24" t="s">
        <v>15</v>
      </c>
      <c r="M10" s="22">
        <f t="shared" si="1"/>
        <v>8.8877314888888892E-2</v>
      </c>
      <c r="N10" s="23">
        <f t="shared" si="2"/>
        <v>13.454876925887328</v>
      </c>
    </row>
    <row r="11" spans="1:16" ht="15.75" customHeight="1" x14ac:dyDescent="0.15">
      <c r="A11" s="2">
        <v>9</v>
      </c>
      <c r="B11" s="86">
        <f>[1]종합등위!$B11</f>
        <v>9</v>
      </c>
      <c r="C11" s="16" t="str">
        <f>[1]종합등위!$C11</f>
        <v>영주</v>
      </c>
      <c r="D11" s="84">
        <f>[1]종합등위!$K11</f>
        <v>4.4803240222222221E-2</v>
      </c>
      <c r="E11" s="14">
        <f>[1]종합등위!$M11</f>
        <v>14.693877721076136</v>
      </c>
      <c r="F11" s="91">
        <f>[2]종합등위!$B11</f>
        <v>9</v>
      </c>
      <c r="G11" s="16" t="str">
        <f>[2]종합등위!$C11</f>
        <v>포항</v>
      </c>
      <c r="H11" s="84">
        <f>[2]종합등위!$J11</f>
        <v>4.3344907481481482E-2</v>
      </c>
      <c r="I11" s="85">
        <f>[2]종합등위!$L11</f>
        <v>15.188250975379226</v>
      </c>
      <c r="J11" s="100">
        <v>9</v>
      </c>
      <c r="K11" s="89" t="str">
        <f t="shared" si="0"/>
        <v>2</v>
      </c>
      <c r="L11" s="24" t="s">
        <v>14</v>
      </c>
      <c r="M11" s="22">
        <f t="shared" si="1"/>
        <v>8.3576389111111093E-2</v>
      </c>
      <c r="N11" s="23">
        <f t="shared" si="2"/>
        <v>14.308267514926088</v>
      </c>
    </row>
    <row r="12" spans="1:16" ht="15.75" customHeight="1" x14ac:dyDescent="0.15">
      <c r="A12" s="2">
        <v>10</v>
      </c>
      <c r="B12" s="86">
        <f>[1]종합등위!$B12</f>
        <v>10</v>
      </c>
      <c r="C12" s="16" t="str">
        <f>[1]종합등위!$C12</f>
        <v>구미</v>
      </c>
      <c r="D12" s="84">
        <f>[1]종합등위!$K12</f>
        <v>4.5613426259259258E-2</v>
      </c>
      <c r="E12" s="14">
        <f>[1]종합등위!$M12</f>
        <v>14.432884949082192</v>
      </c>
      <c r="F12" s="91">
        <f>[2]종합등위!$B12</f>
        <v>10</v>
      </c>
      <c r="G12" s="16" t="str">
        <f>[2]종합등위!$C12</f>
        <v>안동</v>
      </c>
      <c r="H12" s="84">
        <f>[2]종합등위!$J12</f>
        <v>4.3541666777777779E-2</v>
      </c>
      <c r="I12" s="85">
        <f>[2]종합등위!$L12</f>
        <v>15.11961718629763</v>
      </c>
      <c r="J12" s="100">
        <v>10</v>
      </c>
      <c r="K12" s="89" t="str">
        <f t="shared" si="0"/>
        <v>5</v>
      </c>
      <c r="L12" s="24" t="s">
        <v>10</v>
      </c>
      <c r="M12" s="22">
        <f t="shared" si="1"/>
        <v>8.6620370259259255E-2</v>
      </c>
      <c r="N12" s="23">
        <f t="shared" si="2"/>
        <v>13.805451647853067</v>
      </c>
    </row>
    <row r="13" spans="1:16" ht="15.75" customHeight="1" x14ac:dyDescent="0.15">
      <c r="A13" s="2">
        <v>11</v>
      </c>
      <c r="B13" s="86">
        <f>[1]종합등위!$B13</f>
        <v>11</v>
      </c>
      <c r="C13" s="16" t="str">
        <f>[1]종합등위!$C13</f>
        <v>칠곡</v>
      </c>
      <c r="D13" s="84">
        <f>[1]종합등위!$K13</f>
        <v>4.7997684814814812E-2</v>
      </c>
      <c r="E13" s="14">
        <f>[1]종합등위!$M13</f>
        <v>13.715939339018583</v>
      </c>
      <c r="F13" s="91">
        <f>[2]종합등위!$B13</f>
        <v>11</v>
      </c>
      <c r="G13" s="16" t="str">
        <f>[2]종합등위!$C13</f>
        <v>상주</v>
      </c>
      <c r="H13" s="84">
        <f>[2]종합등위!$J13</f>
        <v>4.4444444666666666E-2</v>
      </c>
      <c r="I13" s="85">
        <f>[2]종합등위!$L13</f>
        <v>14.812499925937503</v>
      </c>
      <c r="J13" s="100">
        <v>11</v>
      </c>
      <c r="K13" s="89" t="str">
        <f t="shared" si="0"/>
        <v>16</v>
      </c>
      <c r="L13" s="24" t="s">
        <v>21</v>
      </c>
      <c r="M13" s="22">
        <f t="shared" si="1"/>
        <v>0.10597222148148149</v>
      </c>
      <c r="N13" s="23">
        <f t="shared" si="2"/>
        <v>11.284403748602211</v>
      </c>
    </row>
    <row r="14" spans="1:16" ht="15.75" customHeight="1" x14ac:dyDescent="0.15">
      <c r="A14" s="2">
        <v>12</v>
      </c>
      <c r="B14" s="86">
        <f>[1]종합등위!$B14</f>
        <v>12</v>
      </c>
      <c r="C14" s="16" t="str">
        <f>[1]종합등위!$C14</f>
        <v>포항</v>
      </c>
      <c r="D14" s="84">
        <f>[1]종합등위!$K14</f>
        <v>4.8437498740740742E-2</v>
      </c>
      <c r="E14" s="14">
        <f>[1]종합등위!$M14</f>
        <v>13.591398202806241</v>
      </c>
      <c r="F14" s="91">
        <f>[2]종합등위!$B14</f>
        <v>12</v>
      </c>
      <c r="G14" s="16" t="str">
        <f>[2]종합등위!$C14</f>
        <v>고령</v>
      </c>
      <c r="H14" s="84">
        <f>[2]종합등위!$J14</f>
        <v>4.5173611518518522E-2</v>
      </c>
      <c r="I14" s="85">
        <f>[2]종합등위!$L14</f>
        <v>14.573404941587535</v>
      </c>
      <c r="J14" s="100">
        <v>12</v>
      </c>
      <c r="K14" s="89" t="str">
        <f t="shared" si="0"/>
        <v>19</v>
      </c>
      <c r="L14" s="24" t="s">
        <v>29</v>
      </c>
      <c r="M14" s="22">
        <f t="shared" si="1"/>
        <v>0.10745370351851852</v>
      </c>
      <c r="N14" s="23">
        <f t="shared" si="2"/>
        <v>11.128823802031581</v>
      </c>
    </row>
    <row r="15" spans="1:16" ht="15.75" customHeight="1" x14ac:dyDescent="0.15">
      <c r="A15" s="2">
        <v>13</v>
      </c>
      <c r="B15" s="86">
        <f>[1]종합등위!$B15</f>
        <v>13</v>
      </c>
      <c r="C15" s="16" t="str">
        <f>[1]종합등위!$C15</f>
        <v>영덕</v>
      </c>
      <c r="D15" s="84">
        <f>[1]종합등위!$K15</f>
        <v>4.8645833444444446E-2</v>
      </c>
      <c r="E15" s="14">
        <f>[1]종합등위!$M15</f>
        <v>13.53319054724753</v>
      </c>
      <c r="F15" s="91">
        <f>[2]종합등위!$B15</f>
        <v>13</v>
      </c>
      <c r="G15" s="16" t="str">
        <f>[2]종합등위!$C15</f>
        <v>영덕</v>
      </c>
      <c r="H15" s="84">
        <f>[2]종합등위!$J15</f>
        <v>4.7372685481481477E-2</v>
      </c>
      <c r="I15" s="85">
        <f>[2]종합등위!$L15</f>
        <v>13.896897054541766</v>
      </c>
      <c r="J15" s="100">
        <v>13</v>
      </c>
      <c r="K15" s="89" t="str">
        <f t="shared" si="0"/>
        <v>22</v>
      </c>
      <c r="L15" s="24" t="s">
        <v>31</v>
      </c>
      <c r="M15" s="22">
        <f t="shared" si="1"/>
        <v>0.11504629685185186</v>
      </c>
      <c r="N15" s="23">
        <f t="shared" si="2"/>
        <v>10.394366146988977</v>
      </c>
    </row>
    <row r="16" spans="1:16" ht="15.75" customHeight="1" x14ac:dyDescent="0.15">
      <c r="A16" s="2">
        <v>14</v>
      </c>
      <c r="B16" s="86">
        <f>[1]종합등위!$B16</f>
        <v>14</v>
      </c>
      <c r="C16" s="16" t="str">
        <f>[1]종합등위!$C16</f>
        <v>예천</v>
      </c>
      <c r="D16" s="84">
        <f>[1]종합등위!$K16</f>
        <v>4.930555655555556E-2</v>
      </c>
      <c r="E16" s="14">
        <f>[1]종합등위!$M16</f>
        <v>13.352112405252932</v>
      </c>
      <c r="F16" s="91">
        <f>[2]종합등위!$B16</f>
        <v>14</v>
      </c>
      <c r="G16" s="16" t="str">
        <f>[2]종합등위!$C16</f>
        <v>봉화</v>
      </c>
      <c r="H16" s="84">
        <f>[2]종합등위!$J16</f>
        <v>5.048611177777778E-2</v>
      </c>
      <c r="I16" s="85">
        <f>[2]종합등위!$L16</f>
        <v>13.03988978654341</v>
      </c>
      <c r="J16" s="100">
        <v>14</v>
      </c>
      <c r="K16" s="89" t="str">
        <f t="shared" si="0"/>
        <v>20</v>
      </c>
      <c r="L16" s="24" t="s">
        <v>25</v>
      </c>
      <c r="M16" s="22">
        <f t="shared" si="1"/>
        <v>0.11070601751851852</v>
      </c>
      <c r="N16" s="23">
        <f t="shared" si="2"/>
        <v>10.801881958524056</v>
      </c>
    </row>
    <row r="17" spans="1:18" ht="15.75" customHeight="1" x14ac:dyDescent="0.15">
      <c r="A17" s="2">
        <v>15</v>
      </c>
      <c r="B17" s="86">
        <f>[1]종합등위!$B17</f>
        <v>15</v>
      </c>
      <c r="C17" s="16" t="str">
        <f>[1]종합등위!$C17</f>
        <v>봉화</v>
      </c>
      <c r="D17" s="84">
        <f>[1]종합등위!$K17</f>
        <v>5.074074033333334E-2</v>
      </c>
      <c r="E17" s="14">
        <f>[1]종합등위!$M17</f>
        <v>12.974452658918961</v>
      </c>
      <c r="F17" s="91">
        <f>[2]종합등위!$B17</f>
        <v>15</v>
      </c>
      <c r="G17" s="16" t="str">
        <f>[2]종합등위!$C17</f>
        <v>의성</v>
      </c>
      <c r="H17" s="84">
        <f>[2]종합등위!$J17</f>
        <v>5.0833333481481488E-2</v>
      </c>
      <c r="I17" s="85">
        <f>[2]종합등위!$L17</f>
        <v>12.950819634387413</v>
      </c>
      <c r="J17" s="100">
        <v>15</v>
      </c>
      <c r="K17" s="89" t="str">
        <f t="shared" si="0"/>
        <v>13</v>
      </c>
      <c r="L17" s="24" t="s">
        <v>24</v>
      </c>
      <c r="M17" s="22">
        <f t="shared" si="1"/>
        <v>9.6018518925925916E-2</v>
      </c>
      <c r="N17" s="23">
        <f t="shared" si="2"/>
        <v>12.454194739827912</v>
      </c>
    </row>
    <row r="18" spans="1:18" ht="15.75" customHeight="1" x14ac:dyDescent="0.15">
      <c r="A18" s="2">
        <v>16</v>
      </c>
      <c r="B18" s="86">
        <f>[1]종합등위!$B18</f>
        <v>16</v>
      </c>
      <c r="C18" s="16" t="str">
        <f>[1]종합등위!$C18</f>
        <v>청도</v>
      </c>
      <c r="D18" s="84">
        <f>[1]종합등위!$K18</f>
        <v>5.1365739925925934E-2</v>
      </c>
      <c r="E18" s="14">
        <f>[1]종합등위!$M18</f>
        <v>12.816584250177451</v>
      </c>
      <c r="F18" s="91">
        <f>[2]종합등위!$B18</f>
        <v>16</v>
      </c>
      <c r="G18" s="16" t="str">
        <f>[2]종합등위!$C18</f>
        <v>예천</v>
      </c>
      <c r="H18" s="84">
        <f>[2]종합등위!$J18</f>
        <v>5.0949073444444437E-2</v>
      </c>
      <c r="I18" s="85">
        <f>[2]종합등위!$L18</f>
        <v>12.921399523608393</v>
      </c>
      <c r="J18" s="100">
        <v>16</v>
      </c>
      <c r="K18" s="89" t="str">
        <f t="shared" si="0"/>
        <v>17</v>
      </c>
      <c r="L18" s="24" t="s">
        <v>30</v>
      </c>
      <c r="M18" s="22">
        <f t="shared" si="1"/>
        <v>0.10620370288888889</v>
      </c>
      <c r="N18" s="23">
        <f t="shared" si="2"/>
        <v>11.259808281679438</v>
      </c>
    </row>
    <row r="19" spans="1:18" ht="15.75" customHeight="1" x14ac:dyDescent="0.15">
      <c r="A19" s="2">
        <v>17</v>
      </c>
      <c r="B19" s="86">
        <f>[1]종합등위!$B19</f>
        <v>17</v>
      </c>
      <c r="C19" s="16" t="str">
        <f>[1]종합등위!$C19</f>
        <v>영양</v>
      </c>
      <c r="D19" s="84">
        <f>[1]종합등위!$K19</f>
        <v>5.305555588888889E-2</v>
      </c>
      <c r="E19" s="14">
        <f>[1]종합등위!$M19</f>
        <v>12.408376885392398</v>
      </c>
      <c r="F19" s="91">
        <f>[2]종합등위!$B19</f>
        <v>17</v>
      </c>
      <c r="G19" s="16" t="str">
        <f>[2]종합등위!$C19</f>
        <v>울진</v>
      </c>
      <c r="H19" s="84">
        <f>[2]종합등위!$J19</f>
        <v>5.1701388888888894E-2</v>
      </c>
      <c r="I19" s="85">
        <f>[2]종합등위!$L19</f>
        <v>12.733378106111486</v>
      </c>
      <c r="J19" s="100">
        <v>17</v>
      </c>
      <c r="K19" s="89" t="str">
        <f t="shared" si="0"/>
        <v>10</v>
      </c>
      <c r="L19" s="24" t="s">
        <v>20</v>
      </c>
      <c r="M19" s="22">
        <f t="shared" si="1"/>
        <v>8.939814896296297E-2</v>
      </c>
      <c r="N19" s="23">
        <f t="shared" si="2"/>
        <v>13.376488743953288</v>
      </c>
    </row>
    <row r="20" spans="1:18" ht="15.75" customHeight="1" x14ac:dyDescent="0.15">
      <c r="A20" s="2">
        <v>18</v>
      </c>
      <c r="B20" s="86">
        <f>[1]종합등위!$B20</f>
        <v>18</v>
      </c>
      <c r="C20" s="16" t="str">
        <f>[1]종합등위!$C20</f>
        <v>군위</v>
      </c>
      <c r="D20" s="84">
        <f>[1]종합등위!$K20</f>
        <v>5.3240740370370375E-2</v>
      </c>
      <c r="E20" s="14">
        <f>[1]종합등위!$M20</f>
        <v>12.365217477323251</v>
      </c>
      <c r="F20" s="91">
        <f>[2]종합등위!$B20</f>
        <v>18</v>
      </c>
      <c r="G20" s="16" t="str">
        <f>[2]종합등위!$C20</f>
        <v>군위</v>
      </c>
      <c r="H20" s="84">
        <f>[2]종합등위!$J20</f>
        <v>5.273148111111111E-2</v>
      </c>
      <c r="I20" s="85">
        <f>[2]종합등위!$L20</f>
        <v>12.484635732991299</v>
      </c>
      <c r="J20" s="100">
        <v>18</v>
      </c>
      <c r="K20" s="89" t="str">
        <f t="shared" si="0"/>
        <v>21</v>
      </c>
      <c r="L20" s="24" t="s">
        <v>23</v>
      </c>
      <c r="M20" s="22">
        <f t="shared" si="1"/>
        <v>0.11221064929629629</v>
      </c>
      <c r="N20" s="23">
        <f t="shared" si="2"/>
        <v>10.657039602147673</v>
      </c>
    </row>
    <row r="21" spans="1:18" ht="15.75" customHeight="1" x14ac:dyDescent="0.15">
      <c r="A21" s="2">
        <v>19</v>
      </c>
      <c r="B21" s="86">
        <f>[1]종합등위!$B21</f>
        <v>19</v>
      </c>
      <c r="C21" s="16" t="str">
        <f>[1]종합등위!$C21</f>
        <v>성주</v>
      </c>
      <c r="D21" s="84">
        <f>[1]종합등위!$K21</f>
        <v>5.3344907962962956E-2</v>
      </c>
      <c r="E21" s="14">
        <f>[1]종합등위!$M21</f>
        <v>12.341071687487213</v>
      </c>
      <c r="F21" s="91">
        <f>[2]종합등위!$B21</f>
        <v>19</v>
      </c>
      <c r="G21" s="16" t="str">
        <f>[2]종합등위!$C21</f>
        <v>청도</v>
      </c>
      <c r="H21" s="84">
        <f>[2]종합등위!$J21</f>
        <v>5.4837962962962963E-2</v>
      </c>
      <c r="I21" s="85">
        <f>[2]종합등위!$L21</f>
        <v>12.005065428450825</v>
      </c>
      <c r="J21" s="100">
        <v>19</v>
      </c>
      <c r="K21" s="89" t="str">
        <f t="shared" si="0"/>
        <v>11</v>
      </c>
      <c r="L21" s="24" t="s">
        <v>32</v>
      </c>
      <c r="M21" s="22">
        <f t="shared" si="1"/>
        <v>8.9444443481481478E-2</v>
      </c>
      <c r="N21" s="23">
        <f t="shared" si="2"/>
        <v>13.369565361328656</v>
      </c>
    </row>
    <row r="22" spans="1:18" ht="15.75" customHeight="1" x14ac:dyDescent="0.15">
      <c r="A22" s="2">
        <v>20</v>
      </c>
      <c r="B22" s="86">
        <f>[1]종합등위!$B22</f>
        <v>20</v>
      </c>
      <c r="C22" s="16" t="str">
        <f>[1]종합등위!$C22</f>
        <v>울진</v>
      </c>
      <c r="D22" s="84">
        <f>[1]종합등위!$K22</f>
        <v>5.4872685740740737E-2</v>
      </c>
      <c r="E22" s="14">
        <f>[1]종합등위!$M22</f>
        <v>11.997468766952437</v>
      </c>
      <c r="F22" s="91">
        <f>[2]종합등위!$B22</f>
        <v>20</v>
      </c>
      <c r="G22" s="16" t="str">
        <f>[2]종합등위!$C22</f>
        <v>영양</v>
      </c>
      <c r="H22" s="84">
        <f>[2]종합등위!$J22</f>
        <v>5.7650461629629633E-2</v>
      </c>
      <c r="I22" s="85">
        <f>[2]종합등위!$L22</f>
        <v>11.419393960151412</v>
      </c>
      <c r="J22" s="100">
        <v>20</v>
      </c>
      <c r="K22" s="89" t="str">
        <f t="shared" si="0"/>
        <v>14</v>
      </c>
      <c r="L22" s="24" t="s">
        <v>26</v>
      </c>
      <c r="M22" s="22">
        <f t="shared" si="1"/>
        <v>0.10025463</v>
      </c>
      <c r="N22" s="23">
        <f t="shared" si="2"/>
        <v>11.927961165816816</v>
      </c>
    </row>
    <row r="23" spans="1:18" ht="15.75" customHeight="1" x14ac:dyDescent="0.15">
      <c r="A23" s="2">
        <v>21</v>
      </c>
      <c r="B23" s="86">
        <f>[1]종합등위!$B23</f>
        <v>21</v>
      </c>
      <c r="C23" s="16" t="str">
        <f>[1]종합등위!$C23</f>
        <v>의성</v>
      </c>
      <c r="D23" s="84">
        <f>[1]종합등위!$K23</f>
        <v>5.6620370037037029E-2</v>
      </c>
      <c r="E23" s="14">
        <f>[1]종합등위!$M23</f>
        <v>11.627146429857284</v>
      </c>
      <c r="F23" s="91">
        <f>[2]종합등위!$B23</f>
        <v>21</v>
      </c>
      <c r="G23" s="16" t="str">
        <f>[2]종합등위!$C23</f>
        <v>청송</v>
      </c>
      <c r="H23" s="84">
        <f>[2]종합등위!$J23</f>
        <v>5.7962962814814813E-2</v>
      </c>
      <c r="I23" s="85">
        <f>[2]종합등위!$L23</f>
        <v>11.357827505067931</v>
      </c>
      <c r="J23" s="100">
        <v>21</v>
      </c>
      <c r="K23" s="89" t="str">
        <f t="shared" si="0"/>
        <v>15</v>
      </c>
      <c r="L23" s="24" t="s">
        <v>22</v>
      </c>
      <c r="M23" s="22">
        <f t="shared" si="1"/>
        <v>0.10122685211111113</v>
      </c>
      <c r="N23" s="23">
        <f t="shared" si="2"/>
        <v>11.813400381360601</v>
      </c>
    </row>
    <row r="24" spans="1:18" ht="15.75" customHeight="1" x14ac:dyDescent="0.15">
      <c r="A24" s="2">
        <v>22</v>
      </c>
      <c r="B24" s="86">
        <f>[1]종합등위!$B24</f>
        <v>22</v>
      </c>
      <c r="C24" s="16" t="str">
        <f>[1]종합등위!$C24</f>
        <v>청송</v>
      </c>
      <c r="D24" s="84">
        <f>[1]종합등위!$K24</f>
        <v>5.708333403703704E-2</v>
      </c>
      <c r="E24" s="14">
        <f>[1]종합등위!$M24</f>
        <v>11.532846573155501</v>
      </c>
      <c r="F24" s="91">
        <f>[2]종합등위!$B24</f>
        <v>22</v>
      </c>
      <c r="G24" s="16" t="str">
        <f>[2]종합등위!$C24</f>
        <v>성주</v>
      </c>
      <c r="H24" s="84">
        <f>[2]종합등위!$J24</f>
        <v>5.8865741333333332E-2</v>
      </c>
      <c r="I24" s="85">
        <f>[2]종합등위!$L24</f>
        <v>11.183641255878406</v>
      </c>
      <c r="J24" s="100">
        <v>22</v>
      </c>
      <c r="K24" s="89" t="str">
        <f t="shared" si="0"/>
        <v>18</v>
      </c>
      <c r="L24" s="24" t="s">
        <v>28</v>
      </c>
      <c r="M24" s="22">
        <f t="shared" si="1"/>
        <v>0.10657407462962963</v>
      </c>
      <c r="N24" s="23">
        <f t="shared" si="2"/>
        <v>11.220677613098118</v>
      </c>
    </row>
    <row r="25" spans="1:18" ht="15.75" customHeight="1" thickBot="1" x14ac:dyDescent="0.2">
      <c r="A25" s="2">
        <v>23</v>
      </c>
      <c r="B25" s="87"/>
      <c r="C25" s="20"/>
      <c r="D25" s="88"/>
      <c r="E25" s="15"/>
      <c r="F25" s="92"/>
      <c r="G25" s="20"/>
      <c r="H25" s="88"/>
      <c r="I25" s="93"/>
      <c r="J25" s="101">
        <v>23</v>
      </c>
      <c r="K25" s="90"/>
      <c r="L25" s="25"/>
      <c r="M25" s="26"/>
      <c r="N25" s="27"/>
    </row>
    <row r="26" spans="1:18" ht="21.75" customHeight="1" thickBot="1" x14ac:dyDescent="0.2">
      <c r="B26" s="3"/>
      <c r="C26" s="4"/>
      <c r="R26" s="94"/>
    </row>
    <row r="27" spans="1:18" ht="18" customHeight="1" thickBot="1" x14ac:dyDescent="0.2">
      <c r="A27" s="8"/>
      <c r="B27" s="147" t="s">
        <v>2</v>
      </c>
      <c r="C27" s="148"/>
      <c r="D27" s="149">
        <f>[3]초등부자료입력!$C$1</f>
        <v>14.350000000000001</v>
      </c>
      <c r="E27" s="150"/>
      <c r="F27" s="151" t="s">
        <v>3</v>
      </c>
      <c r="G27" s="148"/>
      <c r="H27" s="149">
        <f>[4]중등부자료입력!$C$1</f>
        <v>14.350000000000001</v>
      </c>
      <c r="I27" s="150"/>
      <c r="J27" s="95"/>
      <c r="K27" s="162" t="s">
        <v>1</v>
      </c>
      <c r="L27" s="163"/>
      <c r="M27" s="162">
        <f>D27+H27</f>
        <v>28.700000000000003</v>
      </c>
      <c r="N27" s="164"/>
      <c r="R27" s="73"/>
    </row>
    <row r="28" spans="1:18" ht="18" customHeight="1" x14ac:dyDescent="0.15">
      <c r="A28" s="5"/>
    </row>
    <row r="29" spans="1:18" ht="18" customHeight="1" x14ac:dyDescent="0.15">
      <c r="A29" s="6"/>
    </row>
    <row r="30" spans="1:18" ht="18" customHeight="1" x14ac:dyDescent="0.15">
      <c r="A30" s="6"/>
      <c r="B30" s="28" t="s">
        <v>40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8" ht="18" customHeight="1" x14ac:dyDescent="0.15">
      <c r="A31" s="6"/>
    </row>
    <row r="32" spans="1:18" ht="18" customHeight="1" x14ac:dyDescent="0.15">
      <c r="A32" s="6"/>
    </row>
    <row r="33" spans="1:1" ht="18" customHeight="1" x14ac:dyDescent="0.15">
      <c r="A33" s="6"/>
    </row>
    <row r="34" spans="1:1" ht="18" customHeight="1" x14ac:dyDescent="0.15">
      <c r="A34" s="6"/>
    </row>
    <row r="35" spans="1:1" ht="18" customHeight="1" x14ac:dyDescent="0.15">
      <c r="A35" s="96"/>
    </row>
    <row r="36" spans="1:1" x14ac:dyDescent="0.15">
      <c r="A36" s="73"/>
    </row>
  </sheetData>
  <mergeCells count="11">
    <mergeCell ref="O7:P7"/>
    <mergeCell ref="O6:P6"/>
    <mergeCell ref="F1:I1"/>
    <mergeCell ref="K1:N1"/>
    <mergeCell ref="K27:L27"/>
    <mergeCell ref="M27:N27"/>
    <mergeCell ref="B1:E1"/>
    <mergeCell ref="B27:C27"/>
    <mergeCell ref="D27:E27"/>
    <mergeCell ref="F27:G27"/>
    <mergeCell ref="H27:I27"/>
  </mergeCells>
  <phoneticPr fontId="2" type="noConversion"/>
  <hyperlinks>
    <hyperlink ref="O6:P6" r:id="rId1" display="초등부 바로가기"/>
    <hyperlink ref="O7:P7" r:id="rId2" display="중등부 바로가기"/>
  </hyperlinks>
  <pageMargins left="1" right="0.74803149606299213" top="0.9055118110236221" bottom="0.98425196850393704" header="0.51181102362204722" footer="0.51181102362204722"/>
  <pageSetup paperSize="9" scale="99" orientation="landscape" horizontalDpi="4294967293" r:id="rId3"/>
  <headerFooter alignWithMargins="0">
    <oddHeader>&amp;L&amp;12&amp;D    &amp;T&amp;R&amp;12주최 경상북도교육청    주관 경북육상경기연맹</oddHeader>
  </headerFooter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종합등위정렬">
                <anchor moveWithCells="1" sizeWithCells="1">
                  <from>
                    <xdr:col>14</xdr:col>
                    <xdr:colOff>19050</xdr:colOff>
                    <xdr:row>0</xdr:row>
                    <xdr:rowOff>85725</xdr:rowOff>
                  </from>
                  <to>
                    <xdr:col>15</xdr:col>
                    <xdr:colOff>495300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초기화">
                <anchor moveWithCells="1" sizeWithCells="1">
                  <from>
                    <xdr:col>14</xdr:col>
                    <xdr:colOff>28575</xdr:colOff>
                    <xdr:row>1</xdr:row>
                    <xdr:rowOff>285750</xdr:rowOff>
                  </from>
                  <to>
                    <xdr:col>15</xdr:col>
                    <xdr:colOff>485775</xdr:colOff>
                    <xdr:row>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R35"/>
  <sheetViews>
    <sheetView showGridLines="0" showZeros="0" zoomScaleNormal="100" workbookViewId="0">
      <pane ySplit="1" topLeftCell="A2" activePane="bottomLeft" state="frozen"/>
      <selection activeCell="U3" sqref="U3"/>
      <selection pane="bottomLeft" activeCell="U3" sqref="U3"/>
    </sheetView>
  </sheetViews>
  <sheetFormatPr defaultColWidth="8.88671875" defaultRowHeight="13.5" x14ac:dyDescent="0.15"/>
  <cols>
    <col min="1" max="1" width="4.44140625" style="1" hidden="1" customWidth="1"/>
    <col min="2" max="2" width="5.77734375" style="1" customWidth="1"/>
    <col min="3" max="4" width="7.77734375" style="1" customWidth="1"/>
    <col min="5" max="5" width="8.77734375" style="1" customWidth="1"/>
    <col min="6" max="6" width="5.6640625" style="1" customWidth="1"/>
    <col min="7" max="8" width="7.77734375" style="1" customWidth="1"/>
    <col min="9" max="9" width="8.77734375" style="1" customWidth="1"/>
    <col min="10" max="10" width="8.77734375" style="1" hidden="1" customWidth="1"/>
    <col min="11" max="12" width="10.5546875" style="1" customWidth="1"/>
    <col min="13" max="13" width="12.5546875" style="1" customWidth="1"/>
    <col min="14" max="14" width="10.5546875" style="1" customWidth="1"/>
    <col min="15" max="15" width="7.77734375" style="1" customWidth="1"/>
    <col min="16" max="23" width="8.109375" style="1" customWidth="1"/>
    <col min="24" max="25" width="7.77734375" style="1" customWidth="1"/>
    <col min="26" max="26" width="6.21875" style="1" customWidth="1"/>
    <col min="27" max="27" width="6.5546875" style="1" customWidth="1"/>
    <col min="28" max="16384" width="8.88671875" style="1"/>
  </cols>
  <sheetData>
    <row r="1" spans="1:16" ht="30" customHeight="1" x14ac:dyDescent="0.15">
      <c r="B1" s="145" t="s">
        <v>39</v>
      </c>
      <c r="C1" s="146"/>
      <c r="D1" s="146"/>
      <c r="E1" s="165"/>
      <c r="F1" s="166" t="s">
        <v>38</v>
      </c>
      <c r="G1" s="146"/>
      <c r="H1" s="146"/>
      <c r="I1" s="165"/>
      <c r="J1" s="98"/>
      <c r="K1" s="159" t="s">
        <v>37</v>
      </c>
      <c r="L1" s="167"/>
      <c r="M1" s="167"/>
      <c r="N1" s="168"/>
    </row>
    <row r="2" spans="1:16" ht="24" customHeight="1" x14ac:dyDescent="0.15">
      <c r="A2" s="2" t="s">
        <v>0</v>
      </c>
      <c r="B2" s="9" t="s">
        <v>4</v>
      </c>
      <c r="C2" s="10" t="s">
        <v>5</v>
      </c>
      <c r="D2" s="11" t="s">
        <v>6</v>
      </c>
      <c r="E2" s="11" t="s">
        <v>7</v>
      </c>
      <c r="F2" s="12" t="s">
        <v>4</v>
      </c>
      <c r="G2" s="10" t="s">
        <v>5</v>
      </c>
      <c r="H2" s="10" t="s">
        <v>6</v>
      </c>
      <c r="I2" s="13" t="s">
        <v>7</v>
      </c>
      <c r="J2" s="99" t="s">
        <v>0</v>
      </c>
      <c r="K2" s="97" t="s">
        <v>36</v>
      </c>
      <c r="L2" s="19" t="s">
        <v>5</v>
      </c>
      <c r="M2" s="17" t="s">
        <v>35</v>
      </c>
      <c r="N2" s="18" t="s">
        <v>7</v>
      </c>
    </row>
    <row r="3" spans="1:16" ht="15.75" customHeight="1" x14ac:dyDescent="0.15">
      <c r="A3" s="2">
        <v>1</v>
      </c>
      <c r="B3" s="86">
        <v>1</v>
      </c>
      <c r="C3" s="16" t="s">
        <v>18</v>
      </c>
      <c r="D3" s="84">
        <v>3.8553240740740742E-2</v>
      </c>
      <c r="E3" s="14">
        <v>15.508856199339538</v>
      </c>
      <c r="F3" s="91">
        <v>1</v>
      </c>
      <c r="G3" s="16" t="s">
        <v>12</v>
      </c>
      <c r="H3" s="84">
        <v>3.8229166666666668E-2</v>
      </c>
      <c r="I3" s="85">
        <v>15.640326975476841</v>
      </c>
      <c r="J3" s="100">
        <v>5</v>
      </c>
      <c r="K3" s="89" t="s">
        <v>41</v>
      </c>
      <c r="L3" s="21" t="s">
        <v>12</v>
      </c>
      <c r="M3" s="22">
        <v>7.8148148148148147E-2</v>
      </c>
      <c r="N3" s="23">
        <v>15.302132701421803</v>
      </c>
    </row>
    <row r="4" spans="1:16" ht="15.75" customHeight="1" x14ac:dyDescent="0.15">
      <c r="A4" s="2">
        <v>2</v>
      </c>
      <c r="B4" s="86">
        <v>2</v>
      </c>
      <c r="C4" s="16" t="s">
        <v>20</v>
      </c>
      <c r="D4" s="84">
        <v>3.9745370370370368E-2</v>
      </c>
      <c r="E4" s="14">
        <v>15.043680838672104</v>
      </c>
      <c r="F4" s="91">
        <v>2</v>
      </c>
      <c r="G4" s="16" t="s">
        <v>15</v>
      </c>
      <c r="H4" s="84">
        <v>3.876157407407408E-2</v>
      </c>
      <c r="I4" s="85">
        <v>15.425500149298296</v>
      </c>
      <c r="J4" s="100">
        <v>6</v>
      </c>
      <c r="K4" s="89" t="s">
        <v>42</v>
      </c>
      <c r="L4" s="24" t="s">
        <v>17</v>
      </c>
      <c r="M4" s="22">
        <v>7.9722222222222222E-2</v>
      </c>
      <c r="N4" s="23">
        <v>15.000000000000002</v>
      </c>
    </row>
    <row r="5" spans="1:16" ht="15.75" customHeight="1" x14ac:dyDescent="0.15">
      <c r="A5" s="2">
        <v>3</v>
      </c>
      <c r="B5" s="86">
        <v>3</v>
      </c>
      <c r="C5" s="16" t="s">
        <v>17</v>
      </c>
      <c r="D5" s="84">
        <v>3.982638888888889E-2</v>
      </c>
      <c r="E5" s="14">
        <v>15.013077593722755</v>
      </c>
      <c r="F5" s="91">
        <v>3</v>
      </c>
      <c r="G5" s="16" t="s">
        <v>32</v>
      </c>
      <c r="H5" s="84">
        <v>3.8807870370370375E-2</v>
      </c>
      <c r="I5" s="85">
        <v>15.407098121085594</v>
      </c>
      <c r="J5" s="100">
        <v>19</v>
      </c>
      <c r="K5" s="89" t="s">
        <v>43</v>
      </c>
      <c r="L5" s="24" t="s">
        <v>32</v>
      </c>
      <c r="M5" s="22">
        <v>7.9780092592592597E-2</v>
      </c>
      <c r="N5" s="23">
        <v>14.989119396489192</v>
      </c>
    </row>
    <row r="6" spans="1:16" ht="15.75" customHeight="1" x14ac:dyDescent="0.15">
      <c r="A6" s="2">
        <v>4</v>
      </c>
      <c r="B6" s="86">
        <v>4</v>
      </c>
      <c r="C6" s="16" t="s">
        <v>12</v>
      </c>
      <c r="D6" s="84">
        <v>3.9918981481481479E-2</v>
      </c>
      <c r="E6" s="14">
        <v>14.978254566541027</v>
      </c>
      <c r="F6" s="91">
        <v>4</v>
      </c>
      <c r="G6" s="16" t="s">
        <v>10</v>
      </c>
      <c r="H6" s="84">
        <v>3.9502314814814816E-2</v>
      </c>
      <c r="I6" s="85">
        <v>15.136243773806036</v>
      </c>
      <c r="J6" s="100">
        <v>10</v>
      </c>
      <c r="K6" s="89" t="s">
        <v>45</v>
      </c>
      <c r="L6" s="24" t="s">
        <v>10</v>
      </c>
      <c r="M6" s="22">
        <v>7.9814814814814811E-2</v>
      </c>
      <c r="N6" s="23">
        <v>14.982598607888633</v>
      </c>
      <c r="O6" s="154"/>
      <c r="P6" s="155"/>
    </row>
    <row r="7" spans="1:16" ht="15.75" customHeight="1" x14ac:dyDescent="0.15">
      <c r="A7" s="2">
        <v>5</v>
      </c>
      <c r="B7" s="86">
        <v>5</v>
      </c>
      <c r="C7" s="16" t="s">
        <v>10</v>
      </c>
      <c r="D7" s="84">
        <v>4.0312499999999994E-2</v>
      </c>
      <c r="E7" s="14">
        <v>14.832041343669253</v>
      </c>
      <c r="F7" s="91">
        <v>5</v>
      </c>
      <c r="G7" s="16" t="s">
        <v>17</v>
      </c>
      <c r="H7" s="84">
        <v>3.9895833333333332E-2</v>
      </c>
      <c r="I7" s="85">
        <v>14.986945169712795</v>
      </c>
      <c r="J7" s="100">
        <v>8</v>
      </c>
      <c r="K7" s="89" t="s">
        <v>47</v>
      </c>
      <c r="L7" s="24" t="s">
        <v>15</v>
      </c>
      <c r="M7" s="22">
        <v>8.229166666666668E-2</v>
      </c>
      <c r="N7" s="23">
        <v>14.531645569620252</v>
      </c>
      <c r="O7" s="152"/>
      <c r="P7" s="153"/>
    </row>
    <row r="8" spans="1:16" ht="15.75" customHeight="1" x14ac:dyDescent="0.15">
      <c r="A8" s="2">
        <v>6</v>
      </c>
      <c r="B8" s="86">
        <v>6</v>
      </c>
      <c r="C8" s="16" t="s">
        <v>32</v>
      </c>
      <c r="D8" s="84">
        <v>4.0972222222222222E-2</v>
      </c>
      <c r="E8" s="14">
        <v>14.593220338983052</v>
      </c>
      <c r="F8" s="91">
        <v>6</v>
      </c>
      <c r="G8" s="16" t="s">
        <v>16</v>
      </c>
      <c r="H8" s="84">
        <v>4.024305555555556E-2</v>
      </c>
      <c r="I8" s="85">
        <v>14.857635893011215</v>
      </c>
      <c r="J8" s="100">
        <v>17</v>
      </c>
      <c r="K8" s="89" t="s">
        <v>44</v>
      </c>
      <c r="L8" s="24" t="s">
        <v>20</v>
      </c>
      <c r="M8" s="22">
        <v>8.2384259259259268E-2</v>
      </c>
      <c r="N8" s="23">
        <v>14.51531329025007</v>
      </c>
    </row>
    <row r="9" spans="1:16" ht="15.75" customHeight="1" x14ac:dyDescent="0.15">
      <c r="A9" s="2">
        <v>7</v>
      </c>
      <c r="B9" s="86">
        <v>7</v>
      </c>
      <c r="C9" s="16" t="s">
        <v>11</v>
      </c>
      <c r="D9" s="84">
        <v>4.1851851851851855E-2</v>
      </c>
      <c r="E9" s="14">
        <v>14.286504424778762</v>
      </c>
      <c r="F9" s="91">
        <v>7</v>
      </c>
      <c r="G9" s="16" t="s">
        <v>14</v>
      </c>
      <c r="H9" s="84">
        <v>4.0358796296296295E-2</v>
      </c>
      <c r="I9" s="85">
        <v>14.815027244049327</v>
      </c>
      <c r="J9" s="100">
        <v>9</v>
      </c>
      <c r="K9" s="89" t="s">
        <v>48</v>
      </c>
      <c r="L9" s="24" t="s">
        <v>14</v>
      </c>
      <c r="M9" s="22">
        <v>8.2604166666666673E-2</v>
      </c>
      <c r="N9" s="23">
        <v>14.476670870113495</v>
      </c>
    </row>
    <row r="10" spans="1:16" ht="15.75" customHeight="1" x14ac:dyDescent="0.15">
      <c r="A10" s="2">
        <v>8</v>
      </c>
      <c r="B10" s="86">
        <v>8</v>
      </c>
      <c r="C10" s="16" t="s">
        <v>14</v>
      </c>
      <c r="D10" s="84">
        <v>4.2245370370370371E-2</v>
      </c>
      <c r="E10" s="14">
        <v>14.153424657534247</v>
      </c>
      <c r="F10" s="91">
        <v>8</v>
      </c>
      <c r="G10" s="16" t="s">
        <v>13</v>
      </c>
      <c r="H10" s="84">
        <v>4.0752314814814811E-2</v>
      </c>
      <c r="I10" s="85">
        <v>14.671968190854875</v>
      </c>
      <c r="J10" s="100">
        <v>2</v>
      </c>
      <c r="K10" s="89" t="s">
        <v>52</v>
      </c>
      <c r="L10" s="24" t="s">
        <v>11</v>
      </c>
      <c r="M10" s="22">
        <v>8.2662037037037034E-2</v>
      </c>
      <c r="N10" s="23">
        <v>14.466535984318121</v>
      </c>
    </row>
    <row r="11" spans="1:16" ht="15.75" customHeight="1" x14ac:dyDescent="0.15">
      <c r="A11" s="2">
        <v>9</v>
      </c>
      <c r="B11" s="86">
        <v>9</v>
      </c>
      <c r="C11" s="16" t="s">
        <v>19</v>
      </c>
      <c r="D11" s="84">
        <v>4.2500000000000003E-2</v>
      </c>
      <c r="E11" s="14">
        <v>14.068627450980394</v>
      </c>
      <c r="F11" s="91">
        <v>9</v>
      </c>
      <c r="G11" s="16" t="s">
        <v>11</v>
      </c>
      <c r="H11" s="84">
        <v>4.0810185185185185E-2</v>
      </c>
      <c r="I11" s="85">
        <v>14.651162790697676</v>
      </c>
      <c r="J11" s="100">
        <v>7</v>
      </c>
      <c r="K11" s="89" t="s">
        <v>46</v>
      </c>
      <c r="L11" s="24" t="s">
        <v>18</v>
      </c>
      <c r="M11" s="22">
        <v>8.2754629629629622E-2</v>
      </c>
      <c r="N11" s="23">
        <v>14.450349650349652</v>
      </c>
    </row>
    <row r="12" spans="1:16" ht="15.75" customHeight="1" x14ac:dyDescent="0.15">
      <c r="A12" s="2">
        <v>10</v>
      </c>
      <c r="B12" s="86">
        <v>10</v>
      </c>
      <c r="C12" s="16" t="s">
        <v>15</v>
      </c>
      <c r="D12" s="84">
        <v>4.3530092592592599E-2</v>
      </c>
      <c r="E12" s="14">
        <v>13.735708588141451</v>
      </c>
      <c r="F12" s="91">
        <v>10</v>
      </c>
      <c r="G12" s="16" t="s">
        <v>19</v>
      </c>
      <c r="H12" s="84">
        <v>4.099537037037037E-2</v>
      </c>
      <c r="I12" s="85">
        <v>14.58498023715415</v>
      </c>
      <c r="J12" s="100">
        <v>1</v>
      </c>
      <c r="K12" s="89" t="s">
        <v>50</v>
      </c>
      <c r="L12" s="24" t="s">
        <v>19</v>
      </c>
      <c r="M12" s="22">
        <v>8.3495370370370373E-2</v>
      </c>
      <c r="N12" s="23">
        <v>14.322151372331577</v>
      </c>
    </row>
    <row r="13" spans="1:16" ht="15.75" customHeight="1" x14ac:dyDescent="0.15">
      <c r="A13" s="2">
        <v>11</v>
      </c>
      <c r="B13" s="86">
        <v>11</v>
      </c>
      <c r="C13" s="16" t="s">
        <v>16</v>
      </c>
      <c r="D13" s="84">
        <v>4.3935185185185188E-2</v>
      </c>
      <c r="E13" s="14">
        <v>13.609062170706006</v>
      </c>
      <c r="F13" s="91">
        <v>11</v>
      </c>
      <c r="G13" s="16" t="s">
        <v>24</v>
      </c>
      <c r="H13" s="84">
        <v>4.1145833333333333E-2</v>
      </c>
      <c r="I13" s="85">
        <v>14.531645569620254</v>
      </c>
      <c r="J13" s="100">
        <v>4</v>
      </c>
      <c r="K13" s="89" t="s">
        <v>51</v>
      </c>
      <c r="L13" s="24" t="s">
        <v>16</v>
      </c>
      <c r="M13" s="22">
        <v>8.4178240740740748E-2</v>
      </c>
      <c r="N13" s="23">
        <v>14.205967276227142</v>
      </c>
    </row>
    <row r="14" spans="1:16" ht="15.75" customHeight="1" x14ac:dyDescent="0.15">
      <c r="A14" s="2">
        <v>12</v>
      </c>
      <c r="B14" s="86">
        <v>12</v>
      </c>
      <c r="C14" s="16" t="s">
        <v>26</v>
      </c>
      <c r="D14" s="84">
        <v>4.5092592592592594E-2</v>
      </c>
      <c r="E14" s="14">
        <v>13.25975359342916</v>
      </c>
      <c r="F14" s="91">
        <v>12</v>
      </c>
      <c r="G14" s="16" t="s">
        <v>20</v>
      </c>
      <c r="H14" s="84">
        <v>4.2638888888888893E-2</v>
      </c>
      <c r="I14" s="85">
        <v>14.022801302931596</v>
      </c>
      <c r="J14" s="100">
        <v>3</v>
      </c>
      <c r="K14" s="89" t="s">
        <v>53</v>
      </c>
      <c r="L14" s="24" t="s">
        <v>13</v>
      </c>
      <c r="M14" s="22">
        <v>8.9050925925925922E-2</v>
      </c>
      <c r="N14" s="23">
        <v>13.428645697946452</v>
      </c>
    </row>
    <row r="15" spans="1:16" ht="15.75" customHeight="1" x14ac:dyDescent="0.15">
      <c r="A15" s="2">
        <v>13</v>
      </c>
      <c r="B15" s="86">
        <v>13</v>
      </c>
      <c r="C15" s="16" t="s">
        <v>23</v>
      </c>
      <c r="D15" s="84">
        <v>4.5486111111111109E-2</v>
      </c>
      <c r="E15" s="14">
        <v>13.145038167938933</v>
      </c>
      <c r="F15" s="91">
        <v>13</v>
      </c>
      <c r="G15" s="16" t="s">
        <v>21</v>
      </c>
      <c r="H15" s="84">
        <v>4.3298611111111107E-2</v>
      </c>
      <c r="I15" s="85">
        <v>13.809141940657581</v>
      </c>
      <c r="J15" s="100">
        <v>15</v>
      </c>
      <c r="K15" s="89" t="s">
        <v>54</v>
      </c>
      <c r="L15" s="24" t="s">
        <v>24</v>
      </c>
      <c r="M15" s="22">
        <v>9.0092592592592613E-2</v>
      </c>
      <c r="N15" s="23">
        <v>13.273381294964027</v>
      </c>
    </row>
    <row r="16" spans="1:16" ht="15.75" customHeight="1" x14ac:dyDescent="0.15">
      <c r="A16" s="2">
        <v>14</v>
      </c>
      <c r="B16" s="86">
        <v>14</v>
      </c>
      <c r="C16" s="16" t="s">
        <v>28</v>
      </c>
      <c r="D16" s="84">
        <v>4.5543981481481477E-2</v>
      </c>
      <c r="E16" s="14">
        <v>13.128335451080053</v>
      </c>
      <c r="F16" s="91">
        <v>14</v>
      </c>
      <c r="G16" s="16" t="s">
        <v>18</v>
      </c>
      <c r="H16" s="84">
        <v>4.4201388888888887E-2</v>
      </c>
      <c r="I16" s="85">
        <v>13.527101335428123</v>
      </c>
      <c r="J16" s="100">
        <v>20</v>
      </c>
      <c r="K16" s="89" t="s">
        <v>49</v>
      </c>
      <c r="L16" s="24" t="s">
        <v>26</v>
      </c>
      <c r="M16" s="22">
        <v>9.0451388888888887E-2</v>
      </c>
      <c r="N16" s="23">
        <v>13.22072936660269</v>
      </c>
    </row>
    <row r="17" spans="1:18" ht="15.75" customHeight="1" x14ac:dyDescent="0.15">
      <c r="A17" s="2">
        <v>15</v>
      </c>
      <c r="B17" s="86">
        <v>15</v>
      </c>
      <c r="C17" s="16" t="s">
        <v>21</v>
      </c>
      <c r="D17" s="84">
        <v>4.7986111111111118E-2</v>
      </c>
      <c r="E17" s="14">
        <v>12.460202604920404</v>
      </c>
      <c r="F17" s="91">
        <v>15</v>
      </c>
      <c r="G17" s="16" t="s">
        <v>30</v>
      </c>
      <c r="H17" s="84">
        <v>4.4421296296296292E-2</v>
      </c>
      <c r="I17" s="85">
        <v>13.460135487232938</v>
      </c>
      <c r="J17" s="100">
        <v>11</v>
      </c>
      <c r="K17" s="89" t="s">
        <v>57</v>
      </c>
      <c r="L17" s="24" t="s">
        <v>21</v>
      </c>
      <c r="M17" s="22">
        <v>9.1284722222222225E-2</v>
      </c>
      <c r="N17" s="23">
        <v>13.100038037276532</v>
      </c>
    </row>
    <row r="18" spans="1:18" ht="15.75" customHeight="1" x14ac:dyDescent="0.15">
      <c r="A18" s="2">
        <v>16</v>
      </c>
      <c r="B18" s="86">
        <v>16</v>
      </c>
      <c r="C18" s="16" t="s">
        <v>13</v>
      </c>
      <c r="D18" s="84">
        <v>4.8298611111111112E-2</v>
      </c>
      <c r="E18" s="14">
        <v>12.379583033788641</v>
      </c>
      <c r="F18" s="91">
        <v>16</v>
      </c>
      <c r="G18" s="16" t="s">
        <v>22</v>
      </c>
      <c r="H18" s="84">
        <v>4.4930556712962963E-2</v>
      </c>
      <c r="I18" s="85">
        <v>13.307573072963086</v>
      </c>
      <c r="J18" s="100">
        <v>21</v>
      </c>
      <c r="K18" s="89" t="s">
        <v>56</v>
      </c>
      <c r="L18" s="24" t="s">
        <v>22</v>
      </c>
      <c r="M18" s="22">
        <v>9.3275464120370383E-2</v>
      </c>
      <c r="N18" s="23">
        <v>12.820449028161695</v>
      </c>
    </row>
    <row r="19" spans="1:18" ht="15.75" customHeight="1" x14ac:dyDescent="0.15">
      <c r="A19" s="2">
        <v>17</v>
      </c>
      <c r="B19" s="86">
        <v>17</v>
      </c>
      <c r="C19" s="16" t="s">
        <v>25</v>
      </c>
      <c r="D19" s="84">
        <v>4.8310185185185199E-2</v>
      </c>
      <c r="E19" s="14">
        <v>12.376617153809294</v>
      </c>
      <c r="F19" s="91">
        <v>17</v>
      </c>
      <c r="G19" s="16" t="s">
        <v>26</v>
      </c>
      <c r="H19" s="84">
        <v>4.5358796296296293E-2</v>
      </c>
      <c r="I19" s="85">
        <v>13.181934166879309</v>
      </c>
      <c r="J19" s="100">
        <v>16</v>
      </c>
      <c r="K19" s="89" t="s">
        <v>59</v>
      </c>
      <c r="L19" s="24" t="s">
        <v>30</v>
      </c>
      <c r="M19" s="22">
        <v>9.3807870370370375E-2</v>
      </c>
      <c r="N19" s="23">
        <v>12.747686613201727</v>
      </c>
    </row>
    <row r="20" spans="1:18" ht="15.75" customHeight="1" x14ac:dyDescent="0.15">
      <c r="A20" s="2">
        <v>18</v>
      </c>
      <c r="B20" s="86">
        <v>18</v>
      </c>
      <c r="C20" s="16" t="s">
        <v>22</v>
      </c>
      <c r="D20" s="84">
        <v>4.834490740740742E-2</v>
      </c>
      <c r="E20" s="14">
        <v>12.367728034474501</v>
      </c>
      <c r="F20" s="91">
        <v>18</v>
      </c>
      <c r="G20" s="16" t="s">
        <v>31</v>
      </c>
      <c r="H20" s="84">
        <v>4.7268518518518474E-2</v>
      </c>
      <c r="I20" s="85">
        <v>12.649363369245849</v>
      </c>
      <c r="J20" s="100">
        <v>22</v>
      </c>
      <c r="K20" s="89" t="s">
        <v>61</v>
      </c>
      <c r="L20" s="24" t="s">
        <v>28</v>
      </c>
      <c r="M20" s="22">
        <v>9.5914351851851806E-2</v>
      </c>
      <c r="N20" s="23">
        <v>12.467720526125264</v>
      </c>
    </row>
    <row r="21" spans="1:18" ht="15.75" customHeight="1" x14ac:dyDescent="0.15">
      <c r="A21" s="2">
        <v>19</v>
      </c>
      <c r="B21" s="86">
        <v>19</v>
      </c>
      <c r="C21" s="16" t="s">
        <v>24</v>
      </c>
      <c r="D21" s="84">
        <v>4.8946759259259273E-2</v>
      </c>
      <c r="E21" s="14">
        <v>12.215653818869706</v>
      </c>
      <c r="F21" s="91">
        <v>19</v>
      </c>
      <c r="G21" s="16" t="s">
        <v>25</v>
      </c>
      <c r="H21" s="84">
        <v>4.8958333333333291E-2</v>
      </c>
      <c r="I21" s="85">
        <v>12.21276595744682</v>
      </c>
      <c r="J21" s="100">
        <v>18</v>
      </c>
      <c r="K21" s="89" t="s">
        <v>58</v>
      </c>
      <c r="L21" s="24" t="s">
        <v>23</v>
      </c>
      <c r="M21" s="22">
        <v>9.6215277777777747E-2</v>
      </c>
      <c r="N21" s="23">
        <v>12.428726091663664</v>
      </c>
    </row>
    <row r="22" spans="1:18" ht="15.75" customHeight="1" x14ac:dyDescent="0.15">
      <c r="A22" s="2">
        <v>20</v>
      </c>
      <c r="B22" s="86">
        <v>20</v>
      </c>
      <c r="C22" s="16" t="s">
        <v>30</v>
      </c>
      <c r="D22" s="84">
        <v>4.9386574074074083E-2</v>
      </c>
      <c r="E22" s="14">
        <v>12.106866651042886</v>
      </c>
      <c r="F22" s="91">
        <v>20</v>
      </c>
      <c r="G22" s="16" t="s">
        <v>28</v>
      </c>
      <c r="H22" s="84">
        <v>5.0370370370370329E-2</v>
      </c>
      <c r="I22" s="85">
        <v>11.870404411764717</v>
      </c>
      <c r="J22" s="100">
        <v>14</v>
      </c>
      <c r="K22" s="89" t="s">
        <v>60</v>
      </c>
      <c r="L22" s="24" t="s">
        <v>25</v>
      </c>
      <c r="M22" s="22">
        <v>9.726851851851849E-2</v>
      </c>
      <c r="N22" s="23">
        <v>12.294145644930991</v>
      </c>
    </row>
    <row r="23" spans="1:18" ht="15.75" customHeight="1" x14ac:dyDescent="0.15">
      <c r="A23" s="2">
        <v>21</v>
      </c>
      <c r="B23" s="86">
        <v>21</v>
      </c>
      <c r="C23" s="16" t="s">
        <v>29</v>
      </c>
      <c r="D23" s="84">
        <v>4.9791666666666679E-2</v>
      </c>
      <c r="E23" s="14">
        <v>12.008368200836818</v>
      </c>
      <c r="F23" s="91">
        <v>21</v>
      </c>
      <c r="G23" s="16" t="s">
        <v>23</v>
      </c>
      <c r="H23" s="84">
        <v>5.0729166666666631E-2</v>
      </c>
      <c r="I23" s="85">
        <v>11.786447638603706</v>
      </c>
      <c r="J23" s="100">
        <v>13</v>
      </c>
      <c r="K23" s="89" t="s">
        <v>62</v>
      </c>
      <c r="L23" s="24" t="s">
        <v>31</v>
      </c>
      <c r="M23" s="22">
        <v>0.10023148148148145</v>
      </c>
      <c r="N23" s="23">
        <v>11.930715935334879</v>
      </c>
    </row>
    <row r="24" spans="1:18" ht="15.75" customHeight="1" x14ac:dyDescent="0.15">
      <c r="A24" s="2">
        <v>22</v>
      </c>
      <c r="B24" s="86">
        <v>22</v>
      </c>
      <c r="C24" s="16" t="s">
        <v>31</v>
      </c>
      <c r="D24" s="84">
        <v>5.2962962962962976E-2</v>
      </c>
      <c r="E24" s="14">
        <v>11.289335664335661</v>
      </c>
      <c r="F24" s="91">
        <v>22</v>
      </c>
      <c r="G24" s="16" t="s">
        <v>29</v>
      </c>
      <c r="H24" s="84">
        <v>5.1643518518518478E-2</v>
      </c>
      <c r="I24" s="85">
        <v>11.577767817122377</v>
      </c>
      <c r="J24" s="100">
        <v>12</v>
      </c>
      <c r="K24" s="89" t="s">
        <v>55</v>
      </c>
      <c r="L24" s="24" t="s">
        <v>29</v>
      </c>
      <c r="M24" s="22">
        <v>0.10143518518518516</v>
      </c>
      <c r="N24" s="23">
        <v>11.789137380191697</v>
      </c>
    </row>
    <row r="25" spans="1:18" ht="15.75" customHeight="1" thickBot="1" x14ac:dyDescent="0.2">
      <c r="A25" s="2">
        <v>23</v>
      </c>
      <c r="B25" s="87">
        <v>23</v>
      </c>
      <c r="C25" s="20">
        <v>0</v>
      </c>
      <c r="D25" s="88">
        <v>0</v>
      </c>
      <c r="E25" s="15">
        <v>0</v>
      </c>
      <c r="F25" s="92">
        <v>23</v>
      </c>
      <c r="G25" s="20">
        <v>0</v>
      </c>
      <c r="H25" s="88">
        <v>0</v>
      </c>
      <c r="I25" s="93">
        <v>0</v>
      </c>
      <c r="J25" s="101">
        <v>23</v>
      </c>
      <c r="K25" s="90"/>
      <c r="L25" s="25"/>
      <c r="M25" s="26"/>
      <c r="N25" s="27"/>
    </row>
    <row r="26" spans="1:18" ht="21.75" customHeight="1" thickBot="1" x14ac:dyDescent="0.2">
      <c r="B26" s="3"/>
      <c r="C26" s="4"/>
      <c r="R26" s="94"/>
    </row>
    <row r="27" spans="1:18" ht="18" customHeight="1" thickBot="1" x14ac:dyDescent="0.2">
      <c r="A27" s="8"/>
      <c r="B27" s="147" t="s">
        <v>2</v>
      </c>
      <c r="C27" s="148"/>
      <c r="D27" s="149">
        <f>[3]초등부자료입력!$C$1</f>
        <v>14.350000000000001</v>
      </c>
      <c r="E27" s="150"/>
      <c r="F27" s="151" t="s">
        <v>3</v>
      </c>
      <c r="G27" s="148"/>
      <c r="H27" s="149">
        <f>[4]중등부자료입력!$C$1</f>
        <v>14.350000000000001</v>
      </c>
      <c r="I27" s="150"/>
      <c r="J27" s="95"/>
      <c r="K27" s="162" t="s">
        <v>1</v>
      </c>
      <c r="L27" s="163"/>
      <c r="M27" s="162">
        <f>D27+H27</f>
        <v>28.700000000000003</v>
      </c>
      <c r="N27" s="164"/>
      <c r="R27" s="73"/>
    </row>
    <row r="28" spans="1:18" ht="18" customHeight="1" x14ac:dyDescent="0.15">
      <c r="A28" s="5"/>
    </row>
    <row r="29" spans="1:18" ht="18" customHeight="1" x14ac:dyDescent="0.15">
      <c r="A29" s="6"/>
    </row>
    <row r="30" spans="1:18" ht="18" customHeight="1" x14ac:dyDescent="0.15">
      <c r="A30" s="6"/>
      <c r="B30" s="28" t="s">
        <v>40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8" ht="18" customHeight="1" x14ac:dyDescent="0.15">
      <c r="A31" s="6"/>
    </row>
    <row r="32" spans="1:18" ht="18" customHeight="1" x14ac:dyDescent="0.15">
      <c r="A32" s="6"/>
    </row>
    <row r="33" spans="1:1" ht="18" customHeight="1" x14ac:dyDescent="0.15">
      <c r="A33" s="6"/>
    </row>
    <row r="34" spans="1:1" ht="18" customHeight="1" x14ac:dyDescent="0.15">
      <c r="A34" s="6"/>
    </row>
    <row r="35" spans="1:1" ht="18" customHeight="1" x14ac:dyDescent="0.15">
      <c r="A35" s="7"/>
    </row>
  </sheetData>
  <mergeCells count="11">
    <mergeCell ref="K27:L27"/>
    <mergeCell ref="M27:N27"/>
    <mergeCell ref="B27:C27"/>
    <mergeCell ref="D27:E27"/>
    <mergeCell ref="F27:G27"/>
    <mergeCell ref="H27:I27"/>
    <mergeCell ref="B1:E1"/>
    <mergeCell ref="F1:I1"/>
    <mergeCell ref="K1:N1"/>
    <mergeCell ref="O6:P6"/>
    <mergeCell ref="O7:P7"/>
  </mergeCells>
  <phoneticPr fontId="2" type="noConversion"/>
  <pageMargins left="0.75" right="0.75" top="1" bottom="1" header="0.5" footer="0.5"/>
  <pageSetup paperSize="9" scale="94" orientation="landscape" r:id="rId1"/>
  <headerFooter alignWithMargins="0">
    <oddHeader>&amp;L&amp;12&amp;D&amp;R&amp;12주최 경상북도교육청   주관   경북육상경기연맹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도교육청요청자료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2</xdr:col>
                    <xdr:colOff>323850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Z130"/>
  <sheetViews>
    <sheetView showZeros="0" zoomScaleNormal="100" workbookViewId="0">
      <selection activeCell="K29" sqref="K29"/>
    </sheetView>
  </sheetViews>
  <sheetFormatPr defaultColWidth="8.88671875" defaultRowHeight="13.5" x14ac:dyDescent="0.15"/>
  <cols>
    <col min="1" max="1" width="6.21875" style="103" customWidth="1"/>
    <col min="2" max="2" width="5.33203125" style="103" customWidth="1"/>
    <col min="3" max="3" width="9.5546875" style="103" customWidth="1"/>
    <col min="4" max="25" width="6" style="103" customWidth="1"/>
    <col min="26" max="26" width="6.6640625" style="103" customWidth="1"/>
    <col min="27" max="27" width="5.77734375" style="103" customWidth="1"/>
    <col min="28" max="16384" width="8.88671875" style="103"/>
  </cols>
  <sheetData>
    <row r="1" spans="1:26" ht="26.25" customHeight="1" x14ac:dyDescent="0.25">
      <c r="A1" s="29" t="s">
        <v>1</v>
      </c>
      <c r="B1" s="30"/>
      <c r="C1" s="102">
        <v>15.3</v>
      </c>
      <c r="D1" s="143">
        <v>100</v>
      </c>
      <c r="E1" s="175" t="s">
        <v>131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6"/>
    </row>
    <row r="2" spans="1:26" ht="20.25" customHeight="1" x14ac:dyDescent="0.15">
      <c r="A2" s="177" t="s">
        <v>132</v>
      </c>
      <c r="B2" s="178"/>
      <c r="C2" s="179"/>
      <c r="D2" s="114" t="s">
        <v>19</v>
      </c>
      <c r="E2" s="114" t="s">
        <v>11</v>
      </c>
      <c r="F2" s="114" t="s">
        <v>13</v>
      </c>
      <c r="G2" s="114" t="s">
        <v>16</v>
      </c>
      <c r="H2" s="114" t="s">
        <v>12</v>
      </c>
      <c r="I2" s="114" t="s">
        <v>17</v>
      </c>
      <c r="J2" s="114" t="s">
        <v>18</v>
      </c>
      <c r="K2" s="114" t="s">
        <v>15</v>
      </c>
      <c r="L2" s="114" t="s">
        <v>14</v>
      </c>
      <c r="M2" s="114" t="s">
        <v>10</v>
      </c>
      <c r="N2" s="114" t="s">
        <v>21</v>
      </c>
      <c r="O2" s="114" t="s">
        <v>29</v>
      </c>
      <c r="P2" s="114" t="s">
        <v>31</v>
      </c>
      <c r="Q2" s="114" t="s">
        <v>25</v>
      </c>
      <c r="R2" s="114" t="s">
        <v>24</v>
      </c>
      <c r="S2" s="114" t="s">
        <v>30</v>
      </c>
      <c r="T2" s="114" t="s">
        <v>20</v>
      </c>
      <c r="U2" s="114" t="s">
        <v>23</v>
      </c>
      <c r="V2" s="114" t="s">
        <v>32</v>
      </c>
      <c r="W2" s="114" t="s">
        <v>26</v>
      </c>
      <c r="X2" s="114" t="s">
        <v>22</v>
      </c>
      <c r="Y2" s="114" t="s">
        <v>28</v>
      </c>
      <c r="Z2" s="115" t="s">
        <v>27</v>
      </c>
    </row>
    <row r="3" spans="1:26" ht="15" customHeight="1" x14ac:dyDescent="0.15">
      <c r="A3" s="104"/>
      <c r="B3" s="180" t="s">
        <v>134</v>
      </c>
      <c r="C3" s="31" t="s">
        <v>135</v>
      </c>
      <c r="D3" s="32" t="s">
        <v>136</v>
      </c>
      <c r="E3" s="32" t="s">
        <v>137</v>
      </c>
      <c r="F3" s="32" t="s">
        <v>138</v>
      </c>
      <c r="G3" s="32" t="s">
        <v>139</v>
      </c>
      <c r="H3" s="32" t="s">
        <v>140</v>
      </c>
      <c r="I3" s="32" t="s">
        <v>141</v>
      </c>
      <c r="J3" s="32" t="s">
        <v>142</v>
      </c>
      <c r="K3" s="32" t="s">
        <v>143</v>
      </c>
      <c r="L3" s="32" t="s">
        <v>144</v>
      </c>
      <c r="M3" s="32" t="s">
        <v>145</v>
      </c>
      <c r="N3" s="32">
        <v>0</v>
      </c>
      <c r="O3" s="32" t="s">
        <v>146</v>
      </c>
      <c r="P3" s="32" t="s">
        <v>147</v>
      </c>
      <c r="Q3" s="32">
        <v>0</v>
      </c>
      <c r="R3" s="32" t="s">
        <v>149</v>
      </c>
      <c r="S3" s="32" t="s">
        <v>150</v>
      </c>
      <c r="T3" s="32" t="s">
        <v>151</v>
      </c>
      <c r="U3" s="32" t="s">
        <v>152</v>
      </c>
      <c r="V3" s="32" t="s">
        <v>153</v>
      </c>
      <c r="W3" s="32" t="s">
        <v>154</v>
      </c>
      <c r="X3" s="32" t="s">
        <v>155</v>
      </c>
      <c r="Y3" s="32" t="s">
        <v>156</v>
      </c>
      <c r="Z3" s="33">
        <v>0</v>
      </c>
    </row>
    <row r="4" spans="1:26" ht="15" customHeight="1" x14ac:dyDescent="0.15">
      <c r="A4" s="34" t="s">
        <v>70</v>
      </c>
      <c r="B4" s="181"/>
      <c r="C4" s="35" t="s">
        <v>157</v>
      </c>
      <c r="D4" s="36" t="s">
        <v>319</v>
      </c>
      <c r="E4" s="36" t="s">
        <v>320</v>
      </c>
      <c r="F4" s="36" t="s">
        <v>321</v>
      </c>
      <c r="G4" s="36" t="s">
        <v>322</v>
      </c>
      <c r="H4" s="36" t="s">
        <v>323</v>
      </c>
      <c r="I4" s="36" t="s">
        <v>324</v>
      </c>
      <c r="J4" s="36" t="s">
        <v>325</v>
      </c>
      <c r="K4" s="36" t="s">
        <v>326</v>
      </c>
      <c r="L4" s="36" t="s">
        <v>327</v>
      </c>
      <c r="M4" s="36" t="s">
        <v>328</v>
      </c>
      <c r="N4" s="36">
        <v>0</v>
      </c>
      <c r="O4" s="36" t="s">
        <v>329</v>
      </c>
      <c r="P4" s="36" t="s">
        <v>330</v>
      </c>
      <c r="Q4" s="36">
        <v>0</v>
      </c>
      <c r="R4" s="36" t="s">
        <v>331</v>
      </c>
      <c r="S4" s="36" t="s">
        <v>332</v>
      </c>
      <c r="T4" s="36" t="s">
        <v>333</v>
      </c>
      <c r="U4" s="36" t="s">
        <v>334</v>
      </c>
      <c r="V4" s="36" t="s">
        <v>335</v>
      </c>
      <c r="W4" s="36" t="s">
        <v>336</v>
      </c>
      <c r="X4" s="36" t="s">
        <v>337</v>
      </c>
      <c r="Y4" s="36" t="s">
        <v>338</v>
      </c>
      <c r="Z4" s="37">
        <v>0</v>
      </c>
    </row>
    <row r="5" spans="1:26" ht="9.75" hidden="1" customHeight="1" x14ac:dyDescent="0.15">
      <c r="A5" s="34"/>
      <c r="B5" s="181"/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</row>
    <row r="6" spans="1:26" ht="9.75" hidden="1" customHeight="1" x14ac:dyDescent="0.15">
      <c r="A6" s="34"/>
      <c r="B6" s="181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0"/>
    </row>
    <row r="7" spans="1:26" ht="15" customHeight="1" x14ac:dyDescent="0.15">
      <c r="A7" s="75">
        <v>2.4</v>
      </c>
      <c r="B7" s="181"/>
      <c r="C7" s="41" t="s">
        <v>158</v>
      </c>
      <c r="D7" s="120">
        <v>6.9675925925925921E-3</v>
      </c>
      <c r="E7" s="42">
        <v>7.0486111111111105E-3</v>
      </c>
      <c r="F7" s="42">
        <v>7.0717592592592594E-3</v>
      </c>
      <c r="G7" s="42">
        <v>6.7129629629629622E-3</v>
      </c>
      <c r="H7" s="42">
        <v>7.106481481481481E-3</v>
      </c>
      <c r="I7" s="42">
        <v>7.083333333333333E-3</v>
      </c>
      <c r="J7" s="42">
        <v>6.3541666666666668E-3</v>
      </c>
      <c r="K7" s="42">
        <v>8.819444444444444E-3</v>
      </c>
      <c r="L7" s="42">
        <v>6.4930555555555549E-3</v>
      </c>
      <c r="M7" s="42">
        <v>6.3541666666666668E-3</v>
      </c>
      <c r="N7" s="42">
        <v>0</v>
      </c>
      <c r="O7" s="42">
        <v>8.7962962962962968E-3</v>
      </c>
      <c r="P7" s="42">
        <v>1.923611111111111E-2</v>
      </c>
      <c r="Q7" s="42">
        <v>0</v>
      </c>
      <c r="R7" s="42">
        <v>7.5231481481481477E-3</v>
      </c>
      <c r="S7" s="42">
        <v>6.7592592592592591E-3</v>
      </c>
      <c r="T7" s="42">
        <v>6.7013888888888887E-3</v>
      </c>
      <c r="U7" s="42">
        <v>7.1759259259259259E-3</v>
      </c>
      <c r="V7" s="42">
        <v>6.9560185185185185E-3</v>
      </c>
      <c r="W7" s="42">
        <v>6.8981481481481489E-3</v>
      </c>
      <c r="X7" s="42">
        <v>8.4143518518518517E-3</v>
      </c>
      <c r="Y7" s="42">
        <v>7.3611111111111108E-3</v>
      </c>
      <c r="Z7" s="43">
        <v>0</v>
      </c>
    </row>
    <row r="8" spans="1:26" ht="15" customHeight="1" x14ac:dyDescent="0.15">
      <c r="A8" s="44">
        <v>15.686274509803921</v>
      </c>
      <c r="B8" s="181"/>
      <c r="C8" s="41" t="s">
        <v>159</v>
      </c>
      <c r="D8" s="121" t="s">
        <v>46</v>
      </c>
      <c r="E8" s="121" t="s">
        <v>50</v>
      </c>
      <c r="F8" s="121" t="s">
        <v>51</v>
      </c>
      <c r="G8" s="121" t="s">
        <v>47</v>
      </c>
      <c r="H8" s="121" t="s">
        <v>54</v>
      </c>
      <c r="I8" s="121" t="s">
        <v>53</v>
      </c>
      <c r="J8" s="121" t="s">
        <v>611</v>
      </c>
      <c r="K8" s="121" t="s">
        <v>58</v>
      </c>
      <c r="L8" s="121" t="s">
        <v>43</v>
      </c>
      <c r="M8" s="121" t="s">
        <v>611</v>
      </c>
      <c r="N8" s="121" t="s">
        <v>63</v>
      </c>
      <c r="O8" s="121" t="s">
        <v>61</v>
      </c>
      <c r="P8" s="121" t="s">
        <v>60</v>
      </c>
      <c r="Q8" s="121" t="s">
        <v>63</v>
      </c>
      <c r="R8" s="121" t="s">
        <v>56</v>
      </c>
      <c r="S8" s="121" t="s">
        <v>44</v>
      </c>
      <c r="T8" s="121" t="s">
        <v>45</v>
      </c>
      <c r="U8" s="121" t="s">
        <v>49</v>
      </c>
      <c r="V8" s="121" t="s">
        <v>52</v>
      </c>
      <c r="W8" s="121" t="s">
        <v>48</v>
      </c>
      <c r="X8" s="121" t="s">
        <v>59</v>
      </c>
      <c r="Y8" s="121" t="s">
        <v>57</v>
      </c>
      <c r="Z8" s="122" t="s">
        <v>63</v>
      </c>
    </row>
    <row r="9" spans="1:26" ht="15" customHeight="1" x14ac:dyDescent="0.15">
      <c r="A9" s="34"/>
      <c r="B9" s="181"/>
      <c r="C9" s="47" t="s">
        <v>160</v>
      </c>
      <c r="D9" s="123">
        <v>6.9675925925925921E-3</v>
      </c>
      <c r="E9" s="48">
        <v>7.0486111111111105E-3</v>
      </c>
      <c r="F9" s="48">
        <v>7.0717592592592594E-3</v>
      </c>
      <c r="G9" s="48">
        <v>6.7129629629629622E-3</v>
      </c>
      <c r="H9" s="48">
        <v>7.106481481481481E-3</v>
      </c>
      <c r="I9" s="48">
        <v>7.083333333333333E-3</v>
      </c>
      <c r="J9" s="48">
        <v>6.3541666666666668E-3</v>
      </c>
      <c r="K9" s="48">
        <v>8.819444444444444E-3</v>
      </c>
      <c r="L9" s="48">
        <v>6.4930555555555549E-3</v>
      </c>
      <c r="M9" s="48">
        <v>6.3541666666666668E-3</v>
      </c>
      <c r="N9" s="48">
        <v>0</v>
      </c>
      <c r="O9" s="48">
        <v>8.7962962962962968E-3</v>
      </c>
      <c r="P9" s="48">
        <v>1.923611111111111E-2</v>
      </c>
      <c r="Q9" s="48">
        <v>0</v>
      </c>
      <c r="R9" s="48">
        <v>7.5231481481481477E-3</v>
      </c>
      <c r="S9" s="48">
        <v>6.7592592592592591E-3</v>
      </c>
      <c r="T9" s="48">
        <v>6.7013888888888887E-3</v>
      </c>
      <c r="U9" s="48">
        <v>7.1759259259259259E-3</v>
      </c>
      <c r="V9" s="48">
        <v>6.9560185185185185E-3</v>
      </c>
      <c r="W9" s="48">
        <v>6.8981481481481489E-3</v>
      </c>
      <c r="X9" s="48">
        <v>8.4143518518518517E-3</v>
      </c>
      <c r="Y9" s="48">
        <v>7.3611111111111108E-3</v>
      </c>
      <c r="Z9" s="49">
        <v>0</v>
      </c>
    </row>
    <row r="10" spans="1:26" ht="15" customHeight="1" x14ac:dyDescent="0.15">
      <c r="A10" s="34"/>
      <c r="B10" s="181"/>
      <c r="C10" s="41" t="s">
        <v>35</v>
      </c>
      <c r="D10" s="42">
        <v>6.9675925925925921E-3</v>
      </c>
      <c r="E10" s="42">
        <v>7.0486111111111105E-3</v>
      </c>
      <c r="F10" s="42">
        <v>7.0717592592592594E-3</v>
      </c>
      <c r="G10" s="42">
        <v>6.7129629629629622E-3</v>
      </c>
      <c r="H10" s="42">
        <v>7.106481481481481E-3</v>
      </c>
      <c r="I10" s="42">
        <v>7.083333333333333E-3</v>
      </c>
      <c r="J10" s="42">
        <v>6.3541666666666668E-3</v>
      </c>
      <c r="K10" s="42">
        <v>8.819444444444444E-3</v>
      </c>
      <c r="L10" s="42">
        <v>6.4930555555555549E-3</v>
      </c>
      <c r="M10" s="42">
        <v>6.3541666666666668E-3</v>
      </c>
      <c r="N10" s="42" t="s">
        <v>63</v>
      </c>
      <c r="O10" s="42">
        <v>8.7962962962962968E-3</v>
      </c>
      <c r="P10" s="42">
        <v>1.923611111111111E-2</v>
      </c>
      <c r="Q10" s="42" t="s">
        <v>63</v>
      </c>
      <c r="R10" s="42">
        <v>7.5231481481481477E-3</v>
      </c>
      <c r="S10" s="42">
        <v>6.7592592592592591E-3</v>
      </c>
      <c r="T10" s="42">
        <v>6.7013888888888887E-3</v>
      </c>
      <c r="U10" s="42">
        <v>7.1759259259259259E-3</v>
      </c>
      <c r="V10" s="42">
        <v>6.9560185185185185E-3</v>
      </c>
      <c r="W10" s="42">
        <v>6.8981481481481489E-3</v>
      </c>
      <c r="X10" s="42">
        <v>8.4143518518518517E-3</v>
      </c>
      <c r="Y10" s="42">
        <v>7.3611111111111108E-3</v>
      </c>
      <c r="Z10" s="43" t="s">
        <v>63</v>
      </c>
    </row>
    <row r="11" spans="1:26" ht="15" customHeight="1" x14ac:dyDescent="0.15">
      <c r="A11" s="50"/>
      <c r="B11" s="182"/>
      <c r="C11" s="51" t="s">
        <v>71</v>
      </c>
      <c r="D11" s="52">
        <v>9</v>
      </c>
      <c r="E11" s="52">
        <v>10</v>
      </c>
      <c r="F11" s="52">
        <v>11</v>
      </c>
      <c r="G11" s="52">
        <v>5</v>
      </c>
      <c r="H11" s="52">
        <v>13</v>
      </c>
      <c r="I11" s="52">
        <v>12</v>
      </c>
      <c r="J11" s="52">
        <v>1</v>
      </c>
      <c r="K11" s="52">
        <v>19</v>
      </c>
      <c r="L11" s="52">
        <v>3</v>
      </c>
      <c r="M11" s="52">
        <v>1</v>
      </c>
      <c r="N11" s="52" t="s">
        <v>63</v>
      </c>
      <c r="O11" s="52">
        <v>18</v>
      </c>
      <c r="P11" s="52">
        <v>20</v>
      </c>
      <c r="Q11" s="52" t="s">
        <v>63</v>
      </c>
      <c r="R11" s="52">
        <v>16</v>
      </c>
      <c r="S11" s="52">
        <v>6</v>
      </c>
      <c r="T11" s="52">
        <v>4</v>
      </c>
      <c r="U11" s="52">
        <v>14</v>
      </c>
      <c r="V11" s="52">
        <v>8</v>
      </c>
      <c r="W11" s="52">
        <v>7</v>
      </c>
      <c r="X11" s="52">
        <v>17</v>
      </c>
      <c r="Y11" s="52">
        <v>15</v>
      </c>
      <c r="Z11" s="72" t="s">
        <v>63</v>
      </c>
    </row>
    <row r="12" spans="1:26" ht="15" customHeight="1" x14ac:dyDescent="0.15">
      <c r="A12" s="54"/>
      <c r="B12" s="55"/>
      <c r="C12" s="31" t="s">
        <v>135</v>
      </c>
      <c r="D12" s="32" t="s">
        <v>161</v>
      </c>
      <c r="E12" s="32" t="s">
        <v>162</v>
      </c>
      <c r="F12" s="32" t="s">
        <v>163</v>
      </c>
      <c r="G12" s="32" t="s">
        <v>164</v>
      </c>
      <c r="H12" s="32" t="s">
        <v>165</v>
      </c>
      <c r="I12" s="32" t="s">
        <v>166</v>
      </c>
      <c r="J12" s="32" t="s">
        <v>167</v>
      </c>
      <c r="K12" s="32" t="s">
        <v>168</v>
      </c>
      <c r="L12" s="32" t="s">
        <v>169</v>
      </c>
      <c r="M12" s="32" t="s">
        <v>170</v>
      </c>
      <c r="N12" s="32">
        <v>0</v>
      </c>
      <c r="O12" s="32" t="s">
        <v>171</v>
      </c>
      <c r="P12" s="32" t="s">
        <v>172</v>
      </c>
      <c r="Q12" s="32">
        <v>0</v>
      </c>
      <c r="R12" s="32" t="s">
        <v>174</v>
      </c>
      <c r="S12" s="32" t="s">
        <v>175</v>
      </c>
      <c r="T12" s="32" t="s">
        <v>176</v>
      </c>
      <c r="U12" s="32" t="s">
        <v>177</v>
      </c>
      <c r="V12" s="32" t="s">
        <v>178</v>
      </c>
      <c r="W12" s="32" t="s">
        <v>179</v>
      </c>
      <c r="X12" s="32" t="s">
        <v>180</v>
      </c>
      <c r="Y12" s="32" t="s">
        <v>181</v>
      </c>
      <c r="Z12" s="33">
        <v>0</v>
      </c>
    </row>
    <row r="13" spans="1:26" ht="15" customHeight="1" x14ac:dyDescent="0.15">
      <c r="A13" s="34" t="s">
        <v>72</v>
      </c>
      <c r="B13" s="56"/>
      <c r="C13" s="35" t="s">
        <v>157</v>
      </c>
      <c r="D13" s="36" t="s">
        <v>339</v>
      </c>
      <c r="E13" s="36" t="s">
        <v>340</v>
      </c>
      <c r="F13" s="36" t="s">
        <v>341</v>
      </c>
      <c r="G13" s="36" t="s">
        <v>342</v>
      </c>
      <c r="H13" s="36" t="s">
        <v>343</v>
      </c>
      <c r="I13" s="36" t="s">
        <v>344</v>
      </c>
      <c r="J13" s="36" t="s">
        <v>345</v>
      </c>
      <c r="K13" s="36" t="s">
        <v>346</v>
      </c>
      <c r="L13" s="36" t="s">
        <v>347</v>
      </c>
      <c r="M13" s="36" t="s">
        <v>348</v>
      </c>
      <c r="N13" s="36">
        <v>0</v>
      </c>
      <c r="O13" s="36" t="s">
        <v>349</v>
      </c>
      <c r="P13" s="36" t="s">
        <v>350</v>
      </c>
      <c r="Q13" s="36">
        <v>0</v>
      </c>
      <c r="R13" s="36" t="s">
        <v>351</v>
      </c>
      <c r="S13" s="36" t="s">
        <v>352</v>
      </c>
      <c r="T13" s="36" t="s">
        <v>353</v>
      </c>
      <c r="U13" s="36" t="s">
        <v>354</v>
      </c>
      <c r="V13" s="36" t="s">
        <v>355</v>
      </c>
      <c r="W13" s="36" t="s">
        <v>356</v>
      </c>
      <c r="X13" s="36" t="s">
        <v>357</v>
      </c>
      <c r="Y13" s="36" t="s">
        <v>358</v>
      </c>
      <c r="Z13" s="37">
        <v>0</v>
      </c>
    </row>
    <row r="14" spans="1:26" ht="15" customHeight="1" thickBot="1" x14ac:dyDescent="0.2">
      <c r="A14" s="34"/>
      <c r="B14" s="56"/>
      <c r="C14" s="38" t="s">
        <v>184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9.6874999999999999E-3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0</v>
      </c>
      <c r="Z14" s="58">
        <v>0</v>
      </c>
    </row>
    <row r="15" spans="1:26" ht="12" hidden="1" customHeight="1" thickBot="1" x14ac:dyDescent="0.2">
      <c r="A15" s="34"/>
      <c r="B15" s="56"/>
      <c r="C15" s="38" t="s">
        <v>185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9.5486111111111101E-3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40">
        <v>0</v>
      </c>
    </row>
    <row r="16" spans="1:26" ht="15" customHeight="1" thickBot="1" x14ac:dyDescent="0.2">
      <c r="A16" s="105">
        <v>2.6</v>
      </c>
      <c r="B16" s="76" t="s">
        <v>318</v>
      </c>
      <c r="C16" s="59" t="s">
        <v>186</v>
      </c>
      <c r="D16" s="42">
        <v>7.7199069999999998E-3</v>
      </c>
      <c r="E16" s="42">
        <v>6.6435189999999996E-3</v>
      </c>
      <c r="F16" s="42">
        <v>1.0069444E-2</v>
      </c>
      <c r="G16" s="42">
        <v>6.7824069999999998E-3</v>
      </c>
      <c r="H16" s="42">
        <v>6.9560189999999999E-3</v>
      </c>
      <c r="I16" s="42">
        <v>7.1064810000000004E-3</v>
      </c>
      <c r="J16" s="42">
        <v>6.5162040000000003E-3</v>
      </c>
      <c r="K16" s="42">
        <v>7.2337959999999998E-3</v>
      </c>
      <c r="L16" s="42">
        <v>6.7129629999999997E-3</v>
      </c>
      <c r="M16" s="42">
        <v>6.4583330000000001E-3</v>
      </c>
      <c r="N16" s="42">
        <v>0</v>
      </c>
      <c r="O16" s="42">
        <v>9.3634259999999993E-3</v>
      </c>
      <c r="P16" s="42">
        <v>9.6990740000000002E-3</v>
      </c>
      <c r="Q16" s="42">
        <v>0</v>
      </c>
      <c r="R16" s="42">
        <v>8.9930559999999993E-3</v>
      </c>
      <c r="S16" s="42">
        <v>7.8703699999999998E-3</v>
      </c>
      <c r="T16" s="42">
        <v>6.7708330000000004E-3</v>
      </c>
      <c r="U16" s="42">
        <v>8.5879630000000005E-3</v>
      </c>
      <c r="V16" s="42">
        <v>7.0833329999999998E-3</v>
      </c>
      <c r="W16" s="42">
        <v>7.3726850000000003E-3</v>
      </c>
      <c r="X16" s="42">
        <v>7.8125E-3</v>
      </c>
      <c r="Y16" s="42">
        <v>7.6388890000000003E-3</v>
      </c>
      <c r="Z16" s="43">
        <v>0</v>
      </c>
    </row>
    <row r="17" spans="1:26" ht="15" customHeight="1" x14ac:dyDescent="0.15">
      <c r="A17" s="44">
        <v>16.993464052287582</v>
      </c>
      <c r="B17" s="77" t="b">
        <v>1</v>
      </c>
      <c r="C17" s="41" t="s">
        <v>187</v>
      </c>
      <c r="D17" s="121" t="s">
        <v>54</v>
      </c>
      <c r="E17" s="121" t="s">
        <v>43</v>
      </c>
      <c r="F17" s="121" t="s">
        <v>60</v>
      </c>
      <c r="G17" s="121" t="s">
        <v>44</v>
      </c>
      <c r="H17" s="121" t="s">
        <v>48</v>
      </c>
      <c r="I17" s="121" t="s">
        <v>46</v>
      </c>
      <c r="J17" s="121" t="s">
        <v>42</v>
      </c>
      <c r="K17" s="121" t="s">
        <v>50</v>
      </c>
      <c r="L17" s="121" t="s">
        <v>45</v>
      </c>
      <c r="M17" s="121" t="s">
        <v>41</v>
      </c>
      <c r="N17" s="121" t="s">
        <v>63</v>
      </c>
      <c r="O17" s="121" t="s">
        <v>61</v>
      </c>
      <c r="P17" s="121" t="s">
        <v>58</v>
      </c>
      <c r="Q17" s="121" t="s">
        <v>63</v>
      </c>
      <c r="R17" s="121" t="s">
        <v>59</v>
      </c>
      <c r="S17" s="121" t="s">
        <v>57</v>
      </c>
      <c r="T17" s="121" t="s">
        <v>47</v>
      </c>
      <c r="U17" s="121" t="s">
        <v>56</v>
      </c>
      <c r="V17" s="121" t="s">
        <v>52</v>
      </c>
      <c r="W17" s="121" t="s">
        <v>51</v>
      </c>
      <c r="X17" s="121" t="s">
        <v>49</v>
      </c>
      <c r="Y17" s="121" t="s">
        <v>53</v>
      </c>
      <c r="Z17" s="122" t="s">
        <v>63</v>
      </c>
    </row>
    <row r="18" spans="1:26" ht="15" customHeight="1" x14ac:dyDescent="0.15">
      <c r="A18" s="34"/>
      <c r="B18" s="56"/>
      <c r="C18" s="47" t="s">
        <v>160</v>
      </c>
      <c r="D18" s="48">
        <v>1.4687499999999999E-2</v>
      </c>
      <c r="E18" s="48">
        <v>1.3692129629629629E-2</v>
      </c>
      <c r="F18" s="48">
        <v>1.7141203703703704E-2</v>
      </c>
      <c r="G18" s="48">
        <v>1.3495370370370371E-2</v>
      </c>
      <c r="H18" s="48">
        <v>1.40625E-2</v>
      </c>
      <c r="I18" s="48">
        <v>1.4189814814814815E-2</v>
      </c>
      <c r="J18" s="48">
        <v>1.2870370370370372E-2</v>
      </c>
      <c r="K18" s="48">
        <v>1.6053240740740739E-2</v>
      </c>
      <c r="L18" s="48">
        <v>1.3206018518518518E-2</v>
      </c>
      <c r="M18" s="48">
        <v>1.2812499999999999E-2</v>
      </c>
      <c r="N18" s="48">
        <v>0</v>
      </c>
      <c r="O18" s="48">
        <v>1.8159722222222219E-2</v>
      </c>
      <c r="P18" s="48">
        <v>1.9386574074074073E-2</v>
      </c>
      <c r="Q18" s="48">
        <v>0</v>
      </c>
      <c r="R18" s="48">
        <v>1.6516203703703703E-2</v>
      </c>
      <c r="S18" s="48">
        <v>1.462962962962963E-2</v>
      </c>
      <c r="T18" s="48">
        <v>1.3472222222222221E-2</v>
      </c>
      <c r="U18" s="48">
        <v>1.5763888888888886E-2</v>
      </c>
      <c r="V18" s="48">
        <v>1.4039351851851851E-2</v>
      </c>
      <c r="W18" s="48">
        <v>1.4270833333333335E-2</v>
      </c>
      <c r="X18" s="48">
        <v>1.622685185185185E-2</v>
      </c>
      <c r="Y18" s="48">
        <v>1.5000000000000001E-2</v>
      </c>
      <c r="Z18" s="49">
        <v>0</v>
      </c>
    </row>
    <row r="19" spans="1:26" ht="15" customHeight="1" x14ac:dyDescent="0.15">
      <c r="A19" s="34"/>
      <c r="C19" s="41" t="s">
        <v>35</v>
      </c>
      <c r="D19" s="42">
        <v>1.4687499592592593E-2</v>
      </c>
      <c r="E19" s="42">
        <v>1.369213011111111E-2</v>
      </c>
      <c r="F19" s="42">
        <v>1.7141203259259261E-2</v>
      </c>
      <c r="G19" s="42">
        <v>1.3495369962962963E-2</v>
      </c>
      <c r="H19" s="42">
        <v>1.4062500481481482E-2</v>
      </c>
      <c r="I19" s="42">
        <v>1.4189814333333333E-2</v>
      </c>
      <c r="J19" s="42">
        <v>1.2870370666666667E-2</v>
      </c>
      <c r="K19" s="42">
        <v>1.6053240444444443E-2</v>
      </c>
      <c r="L19" s="42">
        <v>1.3206018555555555E-2</v>
      </c>
      <c r="M19" s="42">
        <v>1.2812499666666668E-2</v>
      </c>
      <c r="N19" s="42" t="s">
        <v>63</v>
      </c>
      <c r="O19" s="42">
        <v>1.8159722296296296E-2</v>
      </c>
      <c r="P19" s="42">
        <v>2.8935185111111109E-2</v>
      </c>
      <c r="Q19" s="42" t="s">
        <v>63</v>
      </c>
      <c r="R19" s="42">
        <v>1.6516204148148146E-2</v>
      </c>
      <c r="S19" s="42">
        <v>1.4629629259259258E-2</v>
      </c>
      <c r="T19" s="42">
        <v>1.3472221888888889E-2</v>
      </c>
      <c r="U19" s="42">
        <v>1.5763888925925926E-2</v>
      </c>
      <c r="V19" s="42">
        <v>1.4039351518518518E-2</v>
      </c>
      <c r="W19" s="42">
        <v>1.427083314814815E-2</v>
      </c>
      <c r="X19" s="42">
        <v>1.6226851851851853E-2</v>
      </c>
      <c r="Y19" s="42">
        <v>1.5000000111111111E-2</v>
      </c>
      <c r="Z19" s="43" t="s">
        <v>63</v>
      </c>
    </row>
    <row r="20" spans="1:26" ht="15" customHeight="1" x14ac:dyDescent="0.15">
      <c r="A20" s="34"/>
      <c r="B20" s="56"/>
      <c r="C20" s="51" t="s">
        <v>71</v>
      </c>
      <c r="D20" s="52">
        <v>12</v>
      </c>
      <c r="E20" s="52">
        <v>6</v>
      </c>
      <c r="F20" s="52">
        <v>18</v>
      </c>
      <c r="G20" s="52">
        <v>5</v>
      </c>
      <c r="H20" s="52">
        <v>8</v>
      </c>
      <c r="I20" s="52">
        <v>9</v>
      </c>
      <c r="J20" s="52">
        <v>2</v>
      </c>
      <c r="K20" s="52">
        <v>15</v>
      </c>
      <c r="L20" s="52">
        <v>3</v>
      </c>
      <c r="M20" s="52">
        <v>1</v>
      </c>
      <c r="N20" s="52" t="s">
        <v>63</v>
      </c>
      <c r="O20" s="52">
        <v>19</v>
      </c>
      <c r="P20" s="52">
        <v>20</v>
      </c>
      <c r="Q20" s="52" t="s">
        <v>63</v>
      </c>
      <c r="R20" s="52">
        <v>17</v>
      </c>
      <c r="S20" s="52">
        <v>11</v>
      </c>
      <c r="T20" s="52">
        <v>4</v>
      </c>
      <c r="U20" s="52">
        <v>14</v>
      </c>
      <c r="V20" s="52">
        <v>7</v>
      </c>
      <c r="W20" s="52">
        <v>10</v>
      </c>
      <c r="X20" s="52">
        <v>16</v>
      </c>
      <c r="Y20" s="52">
        <v>13</v>
      </c>
      <c r="Z20" s="53" t="s">
        <v>63</v>
      </c>
    </row>
    <row r="21" spans="1:26" ht="15" customHeight="1" x14ac:dyDescent="0.15">
      <c r="A21" s="54"/>
      <c r="B21" s="55"/>
      <c r="C21" s="31" t="s">
        <v>135</v>
      </c>
      <c r="D21" s="32" t="s">
        <v>188</v>
      </c>
      <c r="E21" s="32" t="s">
        <v>189</v>
      </c>
      <c r="F21" s="32" t="s">
        <v>190</v>
      </c>
      <c r="G21" s="32" t="s">
        <v>191</v>
      </c>
      <c r="H21" s="32" t="s">
        <v>192</v>
      </c>
      <c r="I21" s="32" t="s">
        <v>193</v>
      </c>
      <c r="J21" s="32" t="s">
        <v>194</v>
      </c>
      <c r="K21" s="32" t="s">
        <v>195</v>
      </c>
      <c r="L21" s="32" t="s">
        <v>196</v>
      </c>
      <c r="M21" s="32" t="s">
        <v>197</v>
      </c>
      <c r="N21" s="32">
        <v>0</v>
      </c>
      <c r="O21" s="32" t="s">
        <v>198</v>
      </c>
      <c r="P21" s="32" t="s">
        <v>199</v>
      </c>
      <c r="Q21" s="32">
        <v>0</v>
      </c>
      <c r="R21" s="32" t="s">
        <v>201</v>
      </c>
      <c r="S21" s="32" t="s">
        <v>202</v>
      </c>
      <c r="T21" s="32" t="s">
        <v>203</v>
      </c>
      <c r="U21" s="32" t="s">
        <v>204</v>
      </c>
      <c r="V21" s="32" t="s">
        <v>205</v>
      </c>
      <c r="W21" s="32" t="s">
        <v>206</v>
      </c>
      <c r="X21" s="32" t="s">
        <v>207</v>
      </c>
      <c r="Y21" s="32" t="s">
        <v>208</v>
      </c>
      <c r="Z21" s="33">
        <v>0</v>
      </c>
    </row>
    <row r="22" spans="1:26" ht="15" customHeight="1" x14ac:dyDescent="0.15">
      <c r="A22" s="34" t="s">
        <v>209</v>
      </c>
      <c r="B22" s="56"/>
      <c r="C22" s="35" t="s">
        <v>157</v>
      </c>
      <c r="D22" s="36" t="s">
        <v>359</v>
      </c>
      <c r="E22" s="36" t="s">
        <v>360</v>
      </c>
      <c r="F22" s="36" t="s">
        <v>361</v>
      </c>
      <c r="G22" s="36" t="s">
        <v>362</v>
      </c>
      <c r="H22" s="36" t="s">
        <v>363</v>
      </c>
      <c r="I22" s="36" t="s">
        <v>364</v>
      </c>
      <c r="J22" s="36" t="s">
        <v>365</v>
      </c>
      <c r="K22" s="36" t="s">
        <v>366</v>
      </c>
      <c r="L22" s="36" t="s">
        <v>367</v>
      </c>
      <c r="M22" s="36" t="s">
        <v>368</v>
      </c>
      <c r="N22" s="36">
        <v>0</v>
      </c>
      <c r="O22" s="36" t="s">
        <v>369</v>
      </c>
      <c r="P22" s="36" t="s">
        <v>370</v>
      </c>
      <c r="Q22" s="36">
        <v>0</v>
      </c>
      <c r="R22" s="36" t="s">
        <v>371</v>
      </c>
      <c r="S22" s="36" t="s">
        <v>372</v>
      </c>
      <c r="T22" s="36" t="s">
        <v>373</v>
      </c>
      <c r="U22" s="36" t="s">
        <v>374</v>
      </c>
      <c r="V22" s="36" t="s">
        <v>375</v>
      </c>
      <c r="W22" s="36" t="s">
        <v>376</v>
      </c>
      <c r="X22" s="36" t="s">
        <v>377</v>
      </c>
      <c r="Y22" s="36" t="s">
        <v>378</v>
      </c>
      <c r="Z22" s="37">
        <v>0</v>
      </c>
    </row>
    <row r="23" spans="1:26" ht="15" customHeight="1" thickBot="1" x14ac:dyDescent="0.2">
      <c r="A23" s="34"/>
      <c r="B23" s="56"/>
      <c r="C23" s="38" t="s">
        <v>184</v>
      </c>
      <c r="D23" s="57">
        <v>0</v>
      </c>
      <c r="E23" s="57">
        <v>0</v>
      </c>
      <c r="F23" s="57">
        <v>1.5763888888888886E-2</v>
      </c>
      <c r="G23" s="57">
        <v>0</v>
      </c>
      <c r="H23" s="57">
        <v>0</v>
      </c>
      <c r="I23" s="57">
        <v>0</v>
      </c>
      <c r="J23" s="57">
        <v>0</v>
      </c>
      <c r="K23" s="57">
        <v>1.5763888888888886E-2</v>
      </c>
      <c r="L23" s="57">
        <v>0</v>
      </c>
      <c r="M23" s="57">
        <v>0</v>
      </c>
      <c r="N23" s="57">
        <v>0</v>
      </c>
      <c r="O23" s="57">
        <v>1.5763888888888886E-2</v>
      </c>
      <c r="P23" s="57">
        <v>1.5763888888888886E-2</v>
      </c>
      <c r="Q23" s="57">
        <v>0</v>
      </c>
      <c r="R23" s="57">
        <v>1.5763888888888886E-2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1.5763888888888886E-2</v>
      </c>
      <c r="Y23" s="57">
        <v>0</v>
      </c>
      <c r="Z23" s="58">
        <v>0</v>
      </c>
    </row>
    <row r="24" spans="1:26" ht="9" hidden="1" customHeight="1" thickBot="1" x14ac:dyDescent="0.2">
      <c r="A24" s="34"/>
      <c r="B24" s="56"/>
      <c r="C24" s="38" t="s">
        <v>185</v>
      </c>
      <c r="D24" s="39">
        <v>0</v>
      </c>
      <c r="E24" s="39">
        <v>0</v>
      </c>
      <c r="F24" s="39">
        <v>1.3773148148148173E-3</v>
      </c>
      <c r="G24" s="39">
        <v>0</v>
      </c>
      <c r="H24" s="39">
        <v>0</v>
      </c>
      <c r="I24" s="39">
        <v>0</v>
      </c>
      <c r="J24" s="39">
        <v>0</v>
      </c>
      <c r="K24" s="39">
        <v>2.8935185185185314E-4</v>
      </c>
      <c r="L24" s="39">
        <v>0</v>
      </c>
      <c r="M24" s="39">
        <v>0</v>
      </c>
      <c r="N24" s="39">
        <v>0</v>
      </c>
      <c r="O24" s="39">
        <v>2.3958333333333331E-3</v>
      </c>
      <c r="P24" s="39">
        <v>3.6226851851851871E-3</v>
      </c>
      <c r="Q24" s="39">
        <v>0</v>
      </c>
      <c r="R24" s="39">
        <v>7.5231481481481677E-4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4.6296296296296363E-4</v>
      </c>
      <c r="Y24" s="39">
        <v>0</v>
      </c>
      <c r="Z24" s="40">
        <v>0</v>
      </c>
    </row>
    <row r="25" spans="1:26" ht="15" customHeight="1" thickBot="1" x14ac:dyDescent="0.2">
      <c r="A25" s="75">
        <v>2.2999999999999998</v>
      </c>
      <c r="B25" s="76" t="s">
        <v>318</v>
      </c>
      <c r="C25" s="41" t="s">
        <v>210</v>
      </c>
      <c r="D25" s="42">
        <v>6.4583330000000001E-3</v>
      </c>
      <c r="E25" s="42">
        <v>6.7939810000000002E-3</v>
      </c>
      <c r="F25" s="42">
        <v>7.3726850000000003E-3</v>
      </c>
      <c r="G25" s="42">
        <v>6.3657410000000003E-3</v>
      </c>
      <c r="H25" s="42">
        <v>8.1018519999999997E-3</v>
      </c>
      <c r="I25" s="42">
        <v>7.0138889999999997E-3</v>
      </c>
      <c r="J25" s="42">
        <v>7.2453700000000001E-3</v>
      </c>
      <c r="K25" s="42">
        <v>7.8703699999999998E-3</v>
      </c>
      <c r="L25" s="42">
        <v>6.7476849999999998E-3</v>
      </c>
      <c r="M25" s="42">
        <v>7.3958330000000001E-3</v>
      </c>
      <c r="N25" s="42">
        <v>0</v>
      </c>
      <c r="O25" s="42">
        <v>8.8310190000000007E-3</v>
      </c>
      <c r="P25" s="42">
        <v>9.2824069999999995E-3</v>
      </c>
      <c r="Q25" s="42">
        <v>0</v>
      </c>
      <c r="R25" s="42">
        <v>9.6180559999999998E-3</v>
      </c>
      <c r="S25" s="42">
        <v>7.1180560000000002E-3</v>
      </c>
      <c r="T25" s="42">
        <v>6.8865740000000003E-3</v>
      </c>
      <c r="U25" s="42">
        <v>8.7615739999999994E-3</v>
      </c>
      <c r="V25" s="42">
        <v>7.6388890000000003E-3</v>
      </c>
      <c r="W25" s="42">
        <v>7.9166670000000005E-3</v>
      </c>
      <c r="X25" s="42">
        <v>8.6921299999999993E-3</v>
      </c>
      <c r="Y25" s="42">
        <v>7.0138889999999997E-3</v>
      </c>
      <c r="Z25" s="43">
        <v>0</v>
      </c>
    </row>
    <row r="26" spans="1:26" ht="15" customHeight="1" x14ac:dyDescent="0.15">
      <c r="A26" s="44">
        <v>15.032679738562091</v>
      </c>
      <c r="B26" s="77" t="b">
        <v>1</v>
      </c>
      <c r="C26" s="41" t="s">
        <v>211</v>
      </c>
      <c r="D26" s="121" t="s">
        <v>42</v>
      </c>
      <c r="E26" s="121" t="s">
        <v>45</v>
      </c>
      <c r="F26" s="121" t="s">
        <v>50</v>
      </c>
      <c r="G26" s="121" t="s">
        <v>41</v>
      </c>
      <c r="H26" s="121" t="s">
        <v>57</v>
      </c>
      <c r="I26" s="121" t="s">
        <v>313</v>
      </c>
      <c r="J26" s="121" t="s">
        <v>46</v>
      </c>
      <c r="K26" s="121" t="s">
        <v>54</v>
      </c>
      <c r="L26" s="121" t="s">
        <v>43</v>
      </c>
      <c r="M26" s="121" t="s">
        <v>51</v>
      </c>
      <c r="N26" s="121" t="s">
        <v>63</v>
      </c>
      <c r="O26" s="121" t="s">
        <v>61</v>
      </c>
      <c r="P26" s="121" t="s">
        <v>58</v>
      </c>
      <c r="Q26" s="121" t="s">
        <v>63</v>
      </c>
      <c r="R26" s="121" t="s">
        <v>60</v>
      </c>
      <c r="S26" s="121" t="s">
        <v>52</v>
      </c>
      <c r="T26" s="121" t="s">
        <v>47</v>
      </c>
      <c r="U26" s="121" t="s">
        <v>59</v>
      </c>
      <c r="V26" s="121" t="s">
        <v>53</v>
      </c>
      <c r="W26" s="121" t="s">
        <v>49</v>
      </c>
      <c r="X26" s="121" t="s">
        <v>56</v>
      </c>
      <c r="Y26" s="121" t="s">
        <v>313</v>
      </c>
      <c r="Z26" s="122" t="s">
        <v>63</v>
      </c>
    </row>
    <row r="27" spans="1:26" ht="15" customHeight="1" x14ac:dyDescent="0.15">
      <c r="A27" s="34"/>
      <c r="B27" s="56"/>
      <c r="C27" s="47" t="s">
        <v>160</v>
      </c>
      <c r="D27" s="48">
        <v>2.1145833333333332E-2</v>
      </c>
      <c r="E27" s="48">
        <v>2.0486111111111111E-2</v>
      </c>
      <c r="F27" s="48">
        <v>2.3136574074074077E-2</v>
      </c>
      <c r="G27" s="48">
        <v>1.9861111111111111E-2</v>
      </c>
      <c r="H27" s="48">
        <v>2.2164351851851852E-2</v>
      </c>
      <c r="I27" s="48">
        <v>2.1203703703703707E-2</v>
      </c>
      <c r="J27" s="48">
        <v>2.011574074074074E-2</v>
      </c>
      <c r="K27" s="48">
        <v>2.3634259259259258E-2</v>
      </c>
      <c r="L27" s="48">
        <v>1.9953703703703706E-2</v>
      </c>
      <c r="M27" s="48">
        <v>2.0208333333333335E-2</v>
      </c>
      <c r="N27" s="48">
        <v>0</v>
      </c>
      <c r="O27" s="48">
        <v>2.4594907407407409E-2</v>
      </c>
      <c r="P27" s="48">
        <v>2.5046296296296299E-2</v>
      </c>
      <c r="Q27" s="48">
        <v>0</v>
      </c>
      <c r="R27" s="48">
        <v>2.5381944444444443E-2</v>
      </c>
      <c r="S27" s="48">
        <v>2.1747685185185186E-2</v>
      </c>
      <c r="T27" s="48">
        <v>2.0358796296296295E-2</v>
      </c>
      <c r="U27" s="48">
        <v>2.4525462962962968E-2</v>
      </c>
      <c r="V27" s="48">
        <v>2.1678240740740738E-2</v>
      </c>
      <c r="W27" s="48">
        <v>2.2187499999999999E-2</v>
      </c>
      <c r="X27" s="48">
        <v>2.4456018518518519E-2</v>
      </c>
      <c r="Y27" s="48">
        <v>2.2013888888888888E-2</v>
      </c>
      <c r="Z27" s="49">
        <v>0</v>
      </c>
    </row>
    <row r="28" spans="1:26" ht="15" customHeight="1" x14ac:dyDescent="0.15">
      <c r="A28" s="34"/>
      <c r="B28" s="56"/>
      <c r="C28" s="41" t="s">
        <v>35</v>
      </c>
      <c r="D28" s="42">
        <v>2.1145832592592593E-2</v>
      </c>
      <c r="E28" s="42">
        <v>2.0486111111111111E-2</v>
      </c>
      <c r="F28" s="42">
        <v>2.4513888259259261E-2</v>
      </c>
      <c r="G28" s="42">
        <v>1.9861110962962964E-2</v>
      </c>
      <c r="H28" s="42">
        <v>2.2164352481481481E-2</v>
      </c>
      <c r="I28" s="42">
        <v>2.1203703333333334E-2</v>
      </c>
      <c r="J28" s="42">
        <v>2.0115740666666666E-2</v>
      </c>
      <c r="K28" s="42">
        <v>2.3923610444444444E-2</v>
      </c>
      <c r="L28" s="42">
        <v>1.9953703555555556E-2</v>
      </c>
      <c r="M28" s="42">
        <v>2.0208332666666669E-2</v>
      </c>
      <c r="N28" s="42" t="s">
        <v>63</v>
      </c>
      <c r="O28" s="42">
        <v>2.6990741296296299E-2</v>
      </c>
      <c r="P28" s="42">
        <v>3.8217592111111108E-2</v>
      </c>
      <c r="Q28" s="42" t="s">
        <v>63</v>
      </c>
      <c r="R28" s="42">
        <v>2.6134260148148146E-2</v>
      </c>
      <c r="S28" s="42">
        <v>2.1747685259259259E-2</v>
      </c>
      <c r="T28" s="42">
        <v>2.0358795888888889E-2</v>
      </c>
      <c r="U28" s="42">
        <v>2.4525462925925924E-2</v>
      </c>
      <c r="V28" s="42">
        <v>2.1678240518518518E-2</v>
      </c>
      <c r="W28" s="42">
        <v>2.2187500148148152E-2</v>
      </c>
      <c r="X28" s="42">
        <v>2.4918981851851853E-2</v>
      </c>
      <c r="Y28" s="42">
        <v>2.2013889111111112E-2</v>
      </c>
      <c r="Z28" s="43" t="s">
        <v>63</v>
      </c>
    </row>
    <row r="29" spans="1:26" ht="15" customHeight="1" x14ac:dyDescent="0.15">
      <c r="A29" s="34"/>
      <c r="B29" s="56"/>
      <c r="C29" s="51" t="s">
        <v>71</v>
      </c>
      <c r="D29" s="52">
        <v>7</v>
      </c>
      <c r="E29" s="52">
        <v>6</v>
      </c>
      <c r="F29" s="52">
        <v>15</v>
      </c>
      <c r="G29" s="52">
        <v>1</v>
      </c>
      <c r="H29" s="52">
        <v>12</v>
      </c>
      <c r="I29" s="52">
        <v>8</v>
      </c>
      <c r="J29" s="52">
        <v>3</v>
      </c>
      <c r="K29" s="52">
        <v>14</v>
      </c>
      <c r="L29" s="52">
        <v>2</v>
      </c>
      <c r="M29" s="52">
        <v>4</v>
      </c>
      <c r="N29" s="52" t="s">
        <v>63</v>
      </c>
      <c r="O29" s="52">
        <v>19</v>
      </c>
      <c r="P29" s="52">
        <v>20</v>
      </c>
      <c r="Q29" s="52" t="s">
        <v>63</v>
      </c>
      <c r="R29" s="52">
        <v>18</v>
      </c>
      <c r="S29" s="52">
        <v>10</v>
      </c>
      <c r="T29" s="52">
        <v>5</v>
      </c>
      <c r="U29" s="52">
        <v>16</v>
      </c>
      <c r="V29" s="52">
        <v>9</v>
      </c>
      <c r="W29" s="52">
        <v>13</v>
      </c>
      <c r="X29" s="52">
        <v>17</v>
      </c>
      <c r="Y29" s="52">
        <v>11</v>
      </c>
      <c r="Z29" s="53" t="s">
        <v>63</v>
      </c>
    </row>
    <row r="30" spans="1:26" ht="15" customHeight="1" x14ac:dyDescent="0.15">
      <c r="A30" s="54"/>
      <c r="B30" s="55"/>
      <c r="C30" s="31" t="s">
        <v>135</v>
      </c>
      <c r="D30" s="32" t="s">
        <v>212</v>
      </c>
      <c r="E30" s="32" t="s">
        <v>213</v>
      </c>
      <c r="F30" s="32" t="s">
        <v>214</v>
      </c>
      <c r="G30" s="32" t="s">
        <v>215</v>
      </c>
      <c r="H30" s="32" t="s">
        <v>216</v>
      </c>
      <c r="I30" s="32" t="s">
        <v>217</v>
      </c>
      <c r="J30" s="32" t="s">
        <v>218</v>
      </c>
      <c r="K30" s="32" t="s">
        <v>219</v>
      </c>
      <c r="L30" s="32" t="s">
        <v>220</v>
      </c>
      <c r="M30" s="32" t="s">
        <v>221</v>
      </c>
      <c r="N30" s="32">
        <v>0</v>
      </c>
      <c r="O30" s="32" t="s">
        <v>222</v>
      </c>
      <c r="P30" s="32" t="s">
        <v>223</v>
      </c>
      <c r="Q30" s="32">
        <v>0</v>
      </c>
      <c r="R30" s="32" t="s">
        <v>225</v>
      </c>
      <c r="S30" s="32" t="s">
        <v>226</v>
      </c>
      <c r="T30" s="32" t="s">
        <v>227</v>
      </c>
      <c r="U30" s="32" t="s">
        <v>228</v>
      </c>
      <c r="V30" s="32" t="s">
        <v>229</v>
      </c>
      <c r="W30" s="32" t="s">
        <v>230</v>
      </c>
      <c r="X30" s="32" t="s">
        <v>231</v>
      </c>
      <c r="Y30" s="32" t="s">
        <v>232</v>
      </c>
      <c r="Z30" s="33">
        <v>0</v>
      </c>
    </row>
    <row r="31" spans="1:26" ht="15" customHeight="1" x14ac:dyDescent="0.15">
      <c r="A31" s="34" t="s">
        <v>233</v>
      </c>
      <c r="B31" s="56"/>
      <c r="C31" s="35" t="s">
        <v>157</v>
      </c>
      <c r="D31" s="36" t="s">
        <v>379</v>
      </c>
      <c r="E31" s="36" t="s">
        <v>380</v>
      </c>
      <c r="F31" s="36" t="s">
        <v>381</v>
      </c>
      <c r="G31" s="36" t="s">
        <v>382</v>
      </c>
      <c r="H31" s="36" t="s">
        <v>383</v>
      </c>
      <c r="I31" s="36" t="s">
        <v>384</v>
      </c>
      <c r="J31" s="36" t="s">
        <v>385</v>
      </c>
      <c r="K31" s="36" t="s">
        <v>386</v>
      </c>
      <c r="L31" s="36" t="s">
        <v>387</v>
      </c>
      <c r="M31" s="36" t="s">
        <v>388</v>
      </c>
      <c r="N31" s="36">
        <v>0</v>
      </c>
      <c r="O31" s="36" t="s">
        <v>389</v>
      </c>
      <c r="P31" s="36" t="s">
        <v>390</v>
      </c>
      <c r="Q31" s="36">
        <v>0</v>
      </c>
      <c r="R31" s="36" t="s">
        <v>391</v>
      </c>
      <c r="S31" s="36" t="s">
        <v>392</v>
      </c>
      <c r="T31" s="36" t="s">
        <v>393</v>
      </c>
      <c r="U31" s="36" t="s">
        <v>394</v>
      </c>
      <c r="V31" s="36" t="s">
        <v>395</v>
      </c>
      <c r="W31" s="36" t="s">
        <v>396</v>
      </c>
      <c r="X31" s="36" t="s">
        <v>397</v>
      </c>
      <c r="Y31" s="36" t="s">
        <v>182</v>
      </c>
      <c r="Z31" s="37">
        <v>0</v>
      </c>
    </row>
    <row r="32" spans="1:26" ht="15" customHeight="1" thickBot="1" x14ac:dyDescent="0.2">
      <c r="A32" s="34"/>
      <c r="B32" s="56"/>
      <c r="C32" s="38" t="s">
        <v>184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8">
        <v>0</v>
      </c>
    </row>
    <row r="33" spans="1:26" ht="9.75" hidden="1" customHeight="1" thickBot="1" x14ac:dyDescent="0.2">
      <c r="A33" s="34"/>
      <c r="B33" s="56"/>
      <c r="C33" s="38" t="s">
        <v>185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40">
        <v>0</v>
      </c>
    </row>
    <row r="34" spans="1:26" ht="15" customHeight="1" thickBot="1" x14ac:dyDescent="0.2">
      <c r="A34" s="75">
        <v>1.8</v>
      </c>
      <c r="B34" s="76" t="s">
        <v>318</v>
      </c>
      <c r="C34" s="41" t="s">
        <v>235</v>
      </c>
      <c r="D34" s="42">
        <v>4.9884259999999998E-3</v>
      </c>
      <c r="E34" s="42">
        <v>5.7638890000000003E-3</v>
      </c>
      <c r="F34" s="42">
        <v>7.4189809999999998E-3</v>
      </c>
      <c r="G34" s="42">
        <v>5.8101849999999998E-3</v>
      </c>
      <c r="H34" s="42">
        <v>5.9722220000000001E-3</v>
      </c>
      <c r="I34" s="42">
        <v>6.3194439999999996E-3</v>
      </c>
      <c r="J34" s="42">
        <v>5.2314809999999996E-3</v>
      </c>
      <c r="K34" s="42">
        <v>6.7013890000000003E-3</v>
      </c>
      <c r="L34" s="42">
        <v>5.8564810000000002E-3</v>
      </c>
      <c r="M34" s="42">
        <v>5.2777780000000003E-3</v>
      </c>
      <c r="N34" s="42">
        <v>0</v>
      </c>
      <c r="O34" s="42">
        <v>6.1689809999999996E-3</v>
      </c>
      <c r="P34" s="42">
        <v>7.5925929999999999E-3</v>
      </c>
      <c r="Q34" s="42">
        <v>0</v>
      </c>
      <c r="R34" s="42">
        <v>7.6736110000000003E-3</v>
      </c>
      <c r="S34" s="42">
        <v>6.539352E-3</v>
      </c>
      <c r="T34" s="42">
        <v>4.7685189999999997E-3</v>
      </c>
      <c r="U34" s="42">
        <v>6.2615739999999998E-3</v>
      </c>
      <c r="V34" s="42">
        <v>6.2268519999999997E-3</v>
      </c>
      <c r="W34" s="42">
        <v>5.8912039999999997E-3</v>
      </c>
      <c r="X34" s="42">
        <v>6.2731480000000001E-3</v>
      </c>
      <c r="Y34" s="42">
        <v>6.3194439999999996E-3</v>
      </c>
      <c r="Z34" s="43">
        <v>0</v>
      </c>
    </row>
    <row r="35" spans="1:26" ht="15" customHeight="1" x14ac:dyDescent="0.15">
      <c r="A35" s="44">
        <v>11.76470588235294</v>
      </c>
      <c r="B35" s="77" t="b">
        <v>1</v>
      </c>
      <c r="C35" s="41" t="s">
        <v>236</v>
      </c>
      <c r="D35" s="121" t="s">
        <v>42</v>
      </c>
      <c r="E35" s="121" t="s">
        <v>47</v>
      </c>
      <c r="F35" s="121" t="s">
        <v>61</v>
      </c>
      <c r="G35" s="121" t="s">
        <v>44</v>
      </c>
      <c r="H35" s="121" t="s">
        <v>46</v>
      </c>
      <c r="I35" s="121" t="s">
        <v>612</v>
      </c>
      <c r="J35" s="121" t="s">
        <v>43</v>
      </c>
      <c r="K35" s="121" t="s">
        <v>59</v>
      </c>
      <c r="L35" s="121" t="s">
        <v>48</v>
      </c>
      <c r="M35" s="121" t="s">
        <v>45</v>
      </c>
      <c r="N35" s="121" t="s">
        <v>63</v>
      </c>
      <c r="O35" s="121" t="s">
        <v>50</v>
      </c>
      <c r="P35" s="121" t="s">
        <v>58</v>
      </c>
      <c r="Q35" s="121" t="s">
        <v>63</v>
      </c>
      <c r="R35" s="121" t="s">
        <v>60</v>
      </c>
      <c r="S35" s="121" t="s">
        <v>56</v>
      </c>
      <c r="T35" s="121" t="s">
        <v>41</v>
      </c>
      <c r="U35" s="121" t="s">
        <v>53</v>
      </c>
      <c r="V35" s="121" t="s">
        <v>51</v>
      </c>
      <c r="W35" s="121" t="s">
        <v>52</v>
      </c>
      <c r="X35" s="121" t="s">
        <v>54</v>
      </c>
      <c r="Y35" s="121" t="s">
        <v>612</v>
      </c>
      <c r="Z35" s="122" t="s">
        <v>63</v>
      </c>
    </row>
    <row r="36" spans="1:26" ht="15" customHeight="1" x14ac:dyDescent="0.15">
      <c r="A36" s="60"/>
      <c r="B36" s="61"/>
      <c r="C36" s="47" t="s">
        <v>160</v>
      </c>
      <c r="D36" s="48">
        <v>2.613425925925926E-2</v>
      </c>
      <c r="E36" s="48">
        <v>2.6249999999999999E-2</v>
      </c>
      <c r="F36" s="48">
        <v>3.0555555555555555E-2</v>
      </c>
      <c r="G36" s="48">
        <v>2.56712962962963E-2</v>
      </c>
      <c r="H36" s="48">
        <v>2.8136574074074074E-2</v>
      </c>
      <c r="I36" s="48">
        <v>2.7523148148148147E-2</v>
      </c>
      <c r="J36" s="48">
        <v>2.5347222222222219E-2</v>
      </c>
      <c r="K36" s="48">
        <v>3.0335648148148143E-2</v>
      </c>
      <c r="L36" s="48">
        <v>2.5810185185185183E-2</v>
      </c>
      <c r="M36" s="48">
        <v>2.5486111111111112E-2</v>
      </c>
      <c r="N36" s="48">
        <v>0</v>
      </c>
      <c r="O36" s="48">
        <v>3.0763888888888886E-2</v>
      </c>
      <c r="P36" s="48">
        <v>3.2638888888888891E-2</v>
      </c>
      <c r="Q36" s="48">
        <v>0</v>
      </c>
      <c r="R36" s="48">
        <v>3.3055555555555553E-2</v>
      </c>
      <c r="S36" s="48">
        <v>2.8287037037037038E-2</v>
      </c>
      <c r="T36" s="48">
        <v>2.5127314814814811E-2</v>
      </c>
      <c r="U36" s="48">
        <v>3.078703703703704E-2</v>
      </c>
      <c r="V36" s="48">
        <v>2.7905092592592592E-2</v>
      </c>
      <c r="W36" s="48">
        <v>2.8078703703703703E-2</v>
      </c>
      <c r="X36" s="48">
        <v>3.0729166666666669E-2</v>
      </c>
      <c r="Y36" s="48">
        <v>2.8333333333333332E-2</v>
      </c>
      <c r="Z36" s="49">
        <v>0</v>
      </c>
    </row>
    <row r="37" spans="1:26" ht="15" customHeight="1" x14ac:dyDescent="0.15">
      <c r="A37" s="60"/>
      <c r="B37" s="61"/>
      <c r="C37" s="41" t="s">
        <v>35</v>
      </c>
      <c r="D37" s="42">
        <v>2.6134258592592594E-2</v>
      </c>
      <c r="E37" s="42">
        <v>2.6250000111111112E-2</v>
      </c>
      <c r="F37" s="42">
        <v>3.1932869259259263E-2</v>
      </c>
      <c r="G37" s="42">
        <v>2.5671295962962963E-2</v>
      </c>
      <c r="H37" s="42">
        <v>2.8136574481481481E-2</v>
      </c>
      <c r="I37" s="42">
        <v>2.7523147333333334E-2</v>
      </c>
      <c r="J37" s="42">
        <v>2.5347221666666666E-2</v>
      </c>
      <c r="K37" s="42">
        <v>3.0624999444444446E-2</v>
      </c>
      <c r="L37" s="42">
        <v>2.5810184555555556E-2</v>
      </c>
      <c r="M37" s="42">
        <v>2.5486110666666669E-2</v>
      </c>
      <c r="N37" s="42" t="s">
        <v>63</v>
      </c>
      <c r="O37" s="42">
        <v>3.3159722296296296E-2</v>
      </c>
      <c r="P37" s="42">
        <v>4.581018511111111E-2</v>
      </c>
      <c r="Q37" s="42" t="s">
        <v>63</v>
      </c>
      <c r="R37" s="42">
        <v>3.380787114814815E-2</v>
      </c>
      <c r="S37" s="42">
        <v>2.8287037259259261E-2</v>
      </c>
      <c r="T37" s="42">
        <v>2.5127314888888887E-2</v>
      </c>
      <c r="U37" s="42">
        <v>3.0787036925925923E-2</v>
      </c>
      <c r="V37" s="42">
        <v>2.7905092518518519E-2</v>
      </c>
      <c r="W37" s="42">
        <v>2.8078704148148153E-2</v>
      </c>
      <c r="X37" s="42">
        <v>3.1192129851851852E-2</v>
      </c>
      <c r="Y37" s="42">
        <v>2.8333333111111112E-2</v>
      </c>
      <c r="Z37" s="43" t="s">
        <v>63</v>
      </c>
    </row>
    <row r="38" spans="1:26" ht="13.5" customHeight="1" x14ac:dyDescent="0.15">
      <c r="A38" s="60"/>
      <c r="B38" s="61"/>
      <c r="C38" s="51" t="s">
        <v>71</v>
      </c>
      <c r="D38" s="52">
        <v>6</v>
      </c>
      <c r="E38" s="52">
        <v>7</v>
      </c>
      <c r="F38" s="52">
        <v>17</v>
      </c>
      <c r="G38" s="52">
        <v>4</v>
      </c>
      <c r="H38" s="52">
        <v>11</v>
      </c>
      <c r="I38" s="52">
        <v>8</v>
      </c>
      <c r="J38" s="52">
        <v>2</v>
      </c>
      <c r="K38" s="52">
        <v>14</v>
      </c>
      <c r="L38" s="52">
        <v>5</v>
      </c>
      <c r="M38" s="52">
        <v>3</v>
      </c>
      <c r="N38" s="52" t="s">
        <v>63</v>
      </c>
      <c r="O38" s="52">
        <v>18</v>
      </c>
      <c r="P38" s="52">
        <v>20</v>
      </c>
      <c r="Q38" s="52" t="s">
        <v>63</v>
      </c>
      <c r="R38" s="52">
        <v>19</v>
      </c>
      <c r="S38" s="52">
        <v>12</v>
      </c>
      <c r="T38" s="52">
        <v>1</v>
      </c>
      <c r="U38" s="52">
        <v>15</v>
      </c>
      <c r="V38" s="52">
        <v>9</v>
      </c>
      <c r="W38" s="52">
        <v>10</v>
      </c>
      <c r="X38" s="52">
        <v>16</v>
      </c>
      <c r="Y38" s="52">
        <v>13</v>
      </c>
      <c r="Z38" s="53" t="s">
        <v>63</v>
      </c>
    </row>
    <row r="39" spans="1:26" ht="15" customHeight="1" x14ac:dyDescent="0.15">
      <c r="A39" s="54"/>
      <c r="B39" s="55"/>
      <c r="C39" s="31" t="s">
        <v>135</v>
      </c>
      <c r="D39" s="32" t="s">
        <v>237</v>
      </c>
      <c r="E39" s="32" t="s">
        <v>238</v>
      </c>
      <c r="F39" s="32" t="s">
        <v>239</v>
      </c>
      <c r="G39" s="32" t="s">
        <v>240</v>
      </c>
      <c r="H39" s="32" t="s">
        <v>241</v>
      </c>
      <c r="I39" s="32" t="s">
        <v>242</v>
      </c>
      <c r="J39" s="32" t="s">
        <v>243</v>
      </c>
      <c r="K39" s="32" t="s">
        <v>244</v>
      </c>
      <c r="L39" s="32" t="s">
        <v>245</v>
      </c>
      <c r="M39" s="32" t="s">
        <v>246</v>
      </c>
      <c r="N39" s="32">
        <v>0</v>
      </c>
      <c r="O39" s="32" t="s">
        <v>247</v>
      </c>
      <c r="P39" s="32" t="s">
        <v>248</v>
      </c>
      <c r="Q39" s="32">
        <v>0</v>
      </c>
      <c r="R39" s="32" t="s">
        <v>250</v>
      </c>
      <c r="S39" s="32" t="s">
        <v>251</v>
      </c>
      <c r="T39" s="32" t="s">
        <v>252</v>
      </c>
      <c r="U39" s="32" t="s">
        <v>253</v>
      </c>
      <c r="V39" s="32" t="s">
        <v>254</v>
      </c>
      <c r="W39" s="32" t="s">
        <v>255</v>
      </c>
      <c r="X39" s="32" t="s">
        <v>256</v>
      </c>
      <c r="Y39" s="32" t="s">
        <v>257</v>
      </c>
      <c r="Z39" s="33">
        <v>0</v>
      </c>
    </row>
    <row r="40" spans="1:26" ht="15" customHeight="1" x14ac:dyDescent="0.15">
      <c r="A40" s="34" t="s">
        <v>258</v>
      </c>
      <c r="B40" s="56"/>
      <c r="C40" s="62" t="s">
        <v>157</v>
      </c>
      <c r="D40" s="36" t="s">
        <v>234</v>
      </c>
      <c r="E40" s="36" t="s">
        <v>398</v>
      </c>
      <c r="F40" s="36" t="s">
        <v>399</v>
      </c>
      <c r="G40" s="36" t="s">
        <v>400</v>
      </c>
      <c r="H40" s="36" t="s">
        <v>401</v>
      </c>
      <c r="I40" s="36" t="s">
        <v>402</v>
      </c>
      <c r="J40" s="36" t="s">
        <v>403</v>
      </c>
      <c r="K40" s="36" t="s">
        <v>404</v>
      </c>
      <c r="L40" s="36" t="s">
        <v>405</v>
      </c>
      <c r="M40" s="36" t="s">
        <v>406</v>
      </c>
      <c r="N40" s="36">
        <v>0</v>
      </c>
      <c r="O40" s="36" t="s">
        <v>407</v>
      </c>
      <c r="P40" s="36" t="s">
        <v>408</v>
      </c>
      <c r="Q40" s="36">
        <v>0</v>
      </c>
      <c r="R40" s="36" t="s">
        <v>409</v>
      </c>
      <c r="S40" s="36" t="s">
        <v>410</v>
      </c>
      <c r="T40" s="36" t="s">
        <v>411</v>
      </c>
      <c r="U40" s="36" t="s">
        <v>412</v>
      </c>
      <c r="V40" s="36" t="s">
        <v>413</v>
      </c>
      <c r="W40" s="36" t="s">
        <v>414</v>
      </c>
      <c r="X40" s="36" t="s">
        <v>415</v>
      </c>
      <c r="Y40" s="36" t="s">
        <v>416</v>
      </c>
      <c r="Z40" s="37">
        <v>0</v>
      </c>
    </row>
    <row r="41" spans="1:26" ht="15" customHeight="1" thickBot="1" x14ac:dyDescent="0.2">
      <c r="A41" s="34"/>
      <c r="B41" s="56"/>
      <c r="C41" s="63" t="s">
        <v>184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0</v>
      </c>
      <c r="X41" s="57">
        <v>0</v>
      </c>
      <c r="Y41" s="57">
        <v>0</v>
      </c>
      <c r="Z41" s="58">
        <v>0</v>
      </c>
    </row>
    <row r="42" spans="1:26" ht="9" hidden="1" customHeight="1" thickBot="1" x14ac:dyDescent="0.2">
      <c r="A42" s="34"/>
      <c r="B42" s="56"/>
      <c r="C42" s="38" t="s">
        <v>185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40">
        <v>0</v>
      </c>
    </row>
    <row r="43" spans="1:26" ht="15" customHeight="1" thickBot="1" x14ac:dyDescent="0.2">
      <c r="A43" s="75">
        <v>1.9</v>
      </c>
      <c r="B43" s="76" t="s">
        <v>318</v>
      </c>
      <c r="C43" s="41" t="s">
        <v>260</v>
      </c>
      <c r="D43" s="42">
        <v>5.3009260000000001E-3</v>
      </c>
      <c r="E43" s="42">
        <v>5.4050929999999997E-3</v>
      </c>
      <c r="F43" s="42">
        <v>5.3587959999999999E-3</v>
      </c>
      <c r="G43" s="42">
        <v>5.2777780000000003E-3</v>
      </c>
      <c r="H43" s="42">
        <v>5.2546299999999997E-3</v>
      </c>
      <c r="I43" s="42">
        <v>5.6944439999999999E-3</v>
      </c>
      <c r="J43" s="42">
        <v>4.7685189999999997E-3</v>
      </c>
      <c r="K43" s="42">
        <v>5.9606479999999998E-3</v>
      </c>
      <c r="L43" s="42">
        <v>5.1504630000000001E-3</v>
      </c>
      <c r="M43" s="42">
        <v>4.7685189999999997E-3</v>
      </c>
      <c r="N43" s="42">
        <v>0</v>
      </c>
      <c r="O43" s="42">
        <v>6.724537E-3</v>
      </c>
      <c r="P43" s="42">
        <v>6.5162040000000003E-3</v>
      </c>
      <c r="Q43" s="42">
        <v>0</v>
      </c>
      <c r="R43" s="42">
        <v>6.6435189999999996E-3</v>
      </c>
      <c r="S43" s="42">
        <v>6.8287039999999997E-3</v>
      </c>
      <c r="T43" s="42">
        <v>5.0578699999999999E-3</v>
      </c>
      <c r="U43" s="42">
        <v>6.5162040000000003E-3</v>
      </c>
      <c r="V43" s="42">
        <v>5.6365740000000001E-3</v>
      </c>
      <c r="W43" s="42">
        <v>5.6828699999999996E-3</v>
      </c>
      <c r="X43" s="42">
        <v>6.9791669999999997E-3</v>
      </c>
      <c r="Y43" s="42">
        <v>6.203704E-3</v>
      </c>
      <c r="Z43" s="43">
        <v>0</v>
      </c>
    </row>
    <row r="44" spans="1:26" ht="15" customHeight="1" x14ac:dyDescent="0.15">
      <c r="A44" s="44">
        <v>12.41830065359477</v>
      </c>
      <c r="B44" s="77" t="b">
        <v>1</v>
      </c>
      <c r="C44" s="41" t="s">
        <v>261</v>
      </c>
      <c r="D44" s="121" t="s">
        <v>48</v>
      </c>
      <c r="E44" s="121" t="s">
        <v>46</v>
      </c>
      <c r="F44" s="121" t="s">
        <v>52</v>
      </c>
      <c r="G44" s="121" t="s">
        <v>44</v>
      </c>
      <c r="H44" s="121" t="s">
        <v>47</v>
      </c>
      <c r="I44" s="121" t="s">
        <v>53</v>
      </c>
      <c r="J44" s="121" t="s">
        <v>611</v>
      </c>
      <c r="K44" s="121" t="s">
        <v>54</v>
      </c>
      <c r="L44" s="121" t="s">
        <v>45</v>
      </c>
      <c r="M44" s="121" t="s">
        <v>611</v>
      </c>
      <c r="N44" s="121" t="s">
        <v>63</v>
      </c>
      <c r="O44" s="121" t="s">
        <v>61</v>
      </c>
      <c r="P44" s="121" t="s">
        <v>613</v>
      </c>
      <c r="Q44" s="121" t="s">
        <v>63</v>
      </c>
      <c r="R44" s="121" t="s">
        <v>59</v>
      </c>
      <c r="S44" s="121" t="s">
        <v>58</v>
      </c>
      <c r="T44" s="121" t="s">
        <v>43</v>
      </c>
      <c r="U44" s="121" t="s">
        <v>613</v>
      </c>
      <c r="V44" s="121" t="s">
        <v>50</v>
      </c>
      <c r="W44" s="121" t="s">
        <v>51</v>
      </c>
      <c r="X44" s="121" t="s">
        <v>60</v>
      </c>
      <c r="Y44" s="121" t="s">
        <v>49</v>
      </c>
      <c r="Z44" s="122" t="s">
        <v>63</v>
      </c>
    </row>
    <row r="45" spans="1:26" ht="15" customHeight="1" x14ac:dyDescent="0.15">
      <c r="A45" s="60"/>
      <c r="B45" s="61"/>
      <c r="C45" s="47" t="s">
        <v>160</v>
      </c>
      <c r="D45" s="48">
        <v>3.1435185185185184E-2</v>
      </c>
      <c r="E45" s="48">
        <v>3.1655092592592596E-2</v>
      </c>
      <c r="F45" s="48">
        <v>3.5914351851851857E-2</v>
      </c>
      <c r="G45" s="48">
        <v>3.0949074074074077E-2</v>
      </c>
      <c r="H45" s="48">
        <v>3.3391203703703708E-2</v>
      </c>
      <c r="I45" s="48">
        <v>3.3217592592592597E-2</v>
      </c>
      <c r="J45" s="48">
        <v>3.0115740740740738E-2</v>
      </c>
      <c r="K45" s="48">
        <v>3.6296296296296292E-2</v>
      </c>
      <c r="L45" s="48">
        <v>3.096064814814815E-2</v>
      </c>
      <c r="M45" s="48">
        <v>3.0254629629629631E-2</v>
      </c>
      <c r="N45" s="48">
        <v>0</v>
      </c>
      <c r="O45" s="48">
        <v>3.7488425925925925E-2</v>
      </c>
      <c r="P45" s="48">
        <v>3.9155092592592596E-2</v>
      </c>
      <c r="Q45" s="48">
        <v>0</v>
      </c>
      <c r="R45" s="48">
        <v>3.9699074074074074E-2</v>
      </c>
      <c r="S45" s="48">
        <v>3.5115740740740746E-2</v>
      </c>
      <c r="T45" s="48">
        <v>3.0185185185185186E-2</v>
      </c>
      <c r="U45" s="48">
        <v>3.7303240740740741E-2</v>
      </c>
      <c r="V45" s="48">
        <v>3.3541666666666664E-2</v>
      </c>
      <c r="W45" s="48">
        <v>3.3761574074074076E-2</v>
      </c>
      <c r="X45" s="48">
        <v>3.770833333333333E-2</v>
      </c>
      <c r="Y45" s="48">
        <v>3.453703703703704E-2</v>
      </c>
      <c r="Z45" s="49">
        <v>0</v>
      </c>
    </row>
    <row r="46" spans="1:26" ht="18.75" customHeight="1" x14ac:dyDescent="0.15">
      <c r="A46" s="60"/>
      <c r="B46" s="61"/>
      <c r="C46" s="41" t="s">
        <v>35</v>
      </c>
      <c r="D46" s="42">
        <v>3.1435184592592591E-2</v>
      </c>
      <c r="E46" s="42">
        <v>3.1655093111111116E-2</v>
      </c>
      <c r="F46" s="42">
        <v>3.7291665259259262E-2</v>
      </c>
      <c r="G46" s="42">
        <v>3.0949073962962963E-2</v>
      </c>
      <c r="H46" s="42">
        <v>3.339120448148148E-2</v>
      </c>
      <c r="I46" s="42">
        <v>3.3217591333333338E-2</v>
      </c>
      <c r="J46" s="42">
        <v>3.0115740666666665E-2</v>
      </c>
      <c r="K46" s="42">
        <v>3.6585647444444445E-2</v>
      </c>
      <c r="L46" s="42">
        <v>3.0960647555555557E-2</v>
      </c>
      <c r="M46" s="42">
        <v>3.0254629666666668E-2</v>
      </c>
      <c r="N46" s="42" t="s">
        <v>63</v>
      </c>
      <c r="O46" s="42">
        <v>3.9884259296296298E-2</v>
      </c>
      <c r="P46" s="42">
        <v>5.2326389111111107E-2</v>
      </c>
      <c r="Q46" s="42" t="s">
        <v>63</v>
      </c>
      <c r="R46" s="42">
        <v>4.045139014814815E-2</v>
      </c>
      <c r="S46" s="42">
        <v>3.5115741259259259E-2</v>
      </c>
      <c r="T46" s="42">
        <v>3.0185184888888886E-2</v>
      </c>
      <c r="U46" s="42">
        <v>3.7303240925925921E-2</v>
      </c>
      <c r="V46" s="42">
        <v>3.3541666518518518E-2</v>
      </c>
      <c r="W46" s="42">
        <v>3.3761574148148149E-2</v>
      </c>
      <c r="X46" s="42">
        <v>3.8171296851851853E-2</v>
      </c>
      <c r="Y46" s="42">
        <v>3.4537037111111113E-2</v>
      </c>
      <c r="Z46" s="43" t="s">
        <v>63</v>
      </c>
    </row>
    <row r="47" spans="1:26" ht="17.25" customHeight="1" x14ac:dyDescent="0.15">
      <c r="A47" s="64"/>
      <c r="B47" s="65"/>
      <c r="C47" s="70" t="s">
        <v>71</v>
      </c>
      <c r="D47" s="71">
        <v>6</v>
      </c>
      <c r="E47" s="71">
        <v>7</v>
      </c>
      <c r="F47" s="71">
        <v>15</v>
      </c>
      <c r="G47" s="71">
        <v>4</v>
      </c>
      <c r="H47" s="71">
        <v>9</v>
      </c>
      <c r="I47" s="71">
        <v>8</v>
      </c>
      <c r="J47" s="71">
        <v>1</v>
      </c>
      <c r="K47" s="71">
        <v>14</v>
      </c>
      <c r="L47" s="71">
        <v>5</v>
      </c>
      <c r="M47" s="71">
        <v>3</v>
      </c>
      <c r="N47" s="71" t="s">
        <v>63</v>
      </c>
      <c r="O47" s="71">
        <v>18</v>
      </c>
      <c r="P47" s="71">
        <v>20</v>
      </c>
      <c r="Q47" s="71" t="s">
        <v>63</v>
      </c>
      <c r="R47" s="71">
        <v>19</v>
      </c>
      <c r="S47" s="71">
        <v>13</v>
      </c>
      <c r="T47" s="71">
        <v>2</v>
      </c>
      <c r="U47" s="71">
        <v>16</v>
      </c>
      <c r="V47" s="71">
        <v>10</v>
      </c>
      <c r="W47" s="71">
        <v>11</v>
      </c>
      <c r="X47" s="71">
        <v>17</v>
      </c>
      <c r="Y47" s="71">
        <v>12</v>
      </c>
      <c r="Z47" s="72" t="s">
        <v>63</v>
      </c>
    </row>
    <row r="48" spans="1:26" ht="17.25" customHeight="1" x14ac:dyDescent="0.15">
      <c r="A48" s="66"/>
      <c r="B48" s="67"/>
      <c r="C48" s="78" t="s">
        <v>135</v>
      </c>
      <c r="D48" s="68" t="s">
        <v>262</v>
      </c>
      <c r="E48" s="68" t="s">
        <v>263</v>
      </c>
      <c r="F48" s="68" t="s">
        <v>264</v>
      </c>
      <c r="G48" s="68" t="s">
        <v>265</v>
      </c>
      <c r="H48" s="68" t="s">
        <v>266</v>
      </c>
      <c r="I48" s="68" t="s">
        <v>267</v>
      </c>
      <c r="J48" s="68" t="s">
        <v>268</v>
      </c>
      <c r="K48" s="68" t="s">
        <v>269</v>
      </c>
      <c r="L48" s="68" t="s">
        <v>270</v>
      </c>
      <c r="M48" s="68" t="s">
        <v>271</v>
      </c>
      <c r="N48" s="68">
        <v>0</v>
      </c>
      <c r="O48" s="68" t="s">
        <v>272</v>
      </c>
      <c r="P48" s="68" t="s">
        <v>273</v>
      </c>
      <c r="Q48" s="68">
        <v>0</v>
      </c>
      <c r="R48" s="68" t="s">
        <v>275</v>
      </c>
      <c r="S48" s="68" t="s">
        <v>276</v>
      </c>
      <c r="T48" s="68" t="s">
        <v>277</v>
      </c>
      <c r="U48" s="68" t="s">
        <v>278</v>
      </c>
      <c r="V48" s="68" t="s">
        <v>279</v>
      </c>
      <c r="W48" s="68" t="s">
        <v>280</v>
      </c>
      <c r="X48" s="68" t="s">
        <v>281</v>
      </c>
      <c r="Y48" s="68" t="s">
        <v>282</v>
      </c>
      <c r="Z48" s="69">
        <v>0</v>
      </c>
    </row>
    <row r="49" spans="1:26" ht="15" customHeight="1" x14ac:dyDescent="0.15">
      <c r="A49" s="34" t="s">
        <v>283</v>
      </c>
      <c r="B49" s="56"/>
      <c r="C49" s="35" t="s">
        <v>157</v>
      </c>
      <c r="D49" s="36" t="s">
        <v>417</v>
      </c>
      <c r="E49" s="36" t="s">
        <v>418</v>
      </c>
      <c r="F49" s="36" t="s">
        <v>419</v>
      </c>
      <c r="G49" s="36" t="s">
        <v>420</v>
      </c>
      <c r="H49" s="36" t="s">
        <v>421</v>
      </c>
      <c r="I49" s="36" t="s">
        <v>422</v>
      </c>
      <c r="J49" s="36" t="s">
        <v>423</v>
      </c>
      <c r="K49" s="36" t="s">
        <v>424</v>
      </c>
      <c r="L49" s="36" t="s">
        <v>425</v>
      </c>
      <c r="M49" s="36" t="s">
        <v>426</v>
      </c>
      <c r="N49" s="36">
        <v>0</v>
      </c>
      <c r="O49" s="36" t="s">
        <v>379</v>
      </c>
      <c r="P49" s="36" t="s">
        <v>427</v>
      </c>
      <c r="Q49" s="36">
        <v>0</v>
      </c>
      <c r="R49" s="36" t="s">
        <v>428</v>
      </c>
      <c r="S49" s="36" t="s">
        <v>429</v>
      </c>
      <c r="T49" s="36" t="s">
        <v>430</v>
      </c>
      <c r="U49" s="36" t="s">
        <v>431</v>
      </c>
      <c r="V49" s="36" t="s">
        <v>432</v>
      </c>
      <c r="W49" s="36" t="s">
        <v>433</v>
      </c>
      <c r="X49" s="36" t="s">
        <v>434</v>
      </c>
      <c r="Y49" s="36" t="s">
        <v>435</v>
      </c>
      <c r="Z49" s="37">
        <v>0</v>
      </c>
    </row>
    <row r="50" spans="1:26" ht="15" customHeight="1" thickBot="1" x14ac:dyDescent="0.2">
      <c r="A50" s="34"/>
      <c r="B50" s="56"/>
      <c r="C50" s="38" t="s">
        <v>184</v>
      </c>
      <c r="D50" s="57">
        <v>0</v>
      </c>
      <c r="E50" s="57">
        <v>0</v>
      </c>
      <c r="F50" s="57">
        <v>3.3217592592592597E-2</v>
      </c>
      <c r="G50" s="57">
        <v>0</v>
      </c>
      <c r="H50" s="57">
        <v>3.3217592592592597E-2</v>
      </c>
      <c r="I50" s="57">
        <v>0</v>
      </c>
      <c r="J50" s="57">
        <v>0</v>
      </c>
      <c r="K50" s="57">
        <v>3.3217592592592597E-2</v>
      </c>
      <c r="L50" s="57">
        <v>0</v>
      </c>
      <c r="M50" s="57">
        <v>0</v>
      </c>
      <c r="N50" s="57">
        <v>0</v>
      </c>
      <c r="O50" s="57">
        <v>3.3217592592592597E-2</v>
      </c>
      <c r="P50" s="57">
        <v>3.3217592592592597E-2</v>
      </c>
      <c r="Q50" s="57">
        <v>0</v>
      </c>
      <c r="R50" s="57">
        <v>3.3217592592592597E-2</v>
      </c>
      <c r="S50" s="57">
        <v>3.3217592592592597E-2</v>
      </c>
      <c r="T50" s="57">
        <v>0</v>
      </c>
      <c r="U50" s="57">
        <v>3.3217592592592597E-2</v>
      </c>
      <c r="V50" s="57">
        <v>3.3217592592592597E-2</v>
      </c>
      <c r="W50" s="57">
        <v>3.3217592592592597E-2</v>
      </c>
      <c r="X50" s="57">
        <v>3.3217592592592597E-2</v>
      </c>
      <c r="Y50" s="57">
        <v>3.3217592592592597E-2</v>
      </c>
      <c r="Z50" s="58">
        <v>0</v>
      </c>
    </row>
    <row r="51" spans="1:26" ht="12.75" hidden="1" customHeight="1" thickBot="1" x14ac:dyDescent="0.2">
      <c r="A51" s="34"/>
      <c r="B51" s="56"/>
      <c r="C51" s="38" t="s">
        <v>185</v>
      </c>
      <c r="D51" s="39">
        <v>0</v>
      </c>
      <c r="E51" s="39">
        <v>0</v>
      </c>
      <c r="F51" s="39">
        <v>2.6967592592592599E-3</v>
      </c>
      <c r="G51" s="39">
        <v>0</v>
      </c>
      <c r="H51" s="39">
        <v>1.7361111111111049E-4</v>
      </c>
      <c r="I51" s="39">
        <v>0</v>
      </c>
      <c r="J51" s="39">
        <v>0</v>
      </c>
      <c r="K51" s="39">
        <v>3.0787037037036946E-3</v>
      </c>
      <c r="L51" s="39">
        <v>0</v>
      </c>
      <c r="M51" s="39">
        <v>0</v>
      </c>
      <c r="N51" s="39">
        <v>0</v>
      </c>
      <c r="O51" s="39">
        <v>4.2708333333333279E-3</v>
      </c>
      <c r="P51" s="39">
        <v>5.9374999999999983E-3</v>
      </c>
      <c r="Q51" s="39">
        <v>0</v>
      </c>
      <c r="R51" s="39">
        <v>6.481481481481477E-3</v>
      </c>
      <c r="S51" s="39">
        <v>1.8981481481481488E-3</v>
      </c>
      <c r="T51" s="39">
        <v>0</v>
      </c>
      <c r="U51" s="39">
        <v>4.0856481481481438E-3</v>
      </c>
      <c r="V51" s="39">
        <v>3.2407407407406691E-4</v>
      </c>
      <c r="W51" s="39">
        <v>5.4398148148147862E-4</v>
      </c>
      <c r="X51" s="39">
        <v>4.4907407407407327E-3</v>
      </c>
      <c r="Y51" s="39">
        <v>1.3194444444444425E-3</v>
      </c>
      <c r="Z51" s="40">
        <v>0</v>
      </c>
    </row>
    <row r="52" spans="1:26" ht="15" customHeight="1" thickBot="1" x14ac:dyDescent="0.2">
      <c r="A52" s="75">
        <v>2</v>
      </c>
      <c r="B52" s="76" t="s">
        <v>318</v>
      </c>
      <c r="C52" s="41" t="s">
        <v>285</v>
      </c>
      <c r="D52" s="42">
        <v>6.238426E-3</v>
      </c>
      <c r="E52" s="42">
        <v>6.7592590000000001E-3</v>
      </c>
      <c r="F52" s="42">
        <v>7.2222220000000004E-3</v>
      </c>
      <c r="G52" s="42">
        <v>6.5162040000000003E-3</v>
      </c>
      <c r="H52" s="42">
        <v>7.1527780000000003E-3</v>
      </c>
      <c r="I52" s="42">
        <v>6.9791669999999997E-3</v>
      </c>
      <c r="J52" s="42">
        <v>6.5740740000000001E-3</v>
      </c>
      <c r="K52" s="42">
        <v>8.2870370000000006E-3</v>
      </c>
      <c r="L52" s="42">
        <v>7.0717590000000004E-3</v>
      </c>
      <c r="M52" s="42">
        <v>6.2152780000000003E-3</v>
      </c>
      <c r="N52" s="42">
        <v>0</v>
      </c>
      <c r="O52" s="42">
        <v>7.6967590000000001E-3</v>
      </c>
      <c r="P52" s="42">
        <v>8.3680560000000005E-3</v>
      </c>
      <c r="Q52" s="42">
        <v>0</v>
      </c>
      <c r="R52" s="42">
        <v>7.7546300000000002E-3</v>
      </c>
      <c r="S52" s="42">
        <v>7.6736110000000003E-3</v>
      </c>
      <c r="T52" s="42">
        <v>6.7824069999999998E-3</v>
      </c>
      <c r="U52" s="42">
        <v>7.8587959999999995E-3</v>
      </c>
      <c r="V52" s="42">
        <v>6.840278E-3</v>
      </c>
      <c r="W52" s="42">
        <v>7.3032410000000002E-3</v>
      </c>
      <c r="X52" s="42">
        <v>1.8784722E-2</v>
      </c>
      <c r="Y52" s="42">
        <v>7.0370370000000003E-3</v>
      </c>
      <c r="Z52" s="43">
        <v>0</v>
      </c>
    </row>
    <row r="53" spans="1:26" ht="15" customHeight="1" x14ac:dyDescent="0.15">
      <c r="A53" s="44">
        <v>13.071895424836603</v>
      </c>
      <c r="B53" s="77" t="b">
        <v>1</v>
      </c>
      <c r="C53" s="41" t="s">
        <v>286</v>
      </c>
      <c r="D53" s="121" t="s">
        <v>42</v>
      </c>
      <c r="E53" s="121" t="s">
        <v>47</v>
      </c>
      <c r="F53" s="121" t="s">
        <v>53</v>
      </c>
      <c r="G53" s="121" t="s">
        <v>43</v>
      </c>
      <c r="H53" s="121" t="s">
        <v>51</v>
      </c>
      <c r="I53" s="121" t="s">
        <v>52</v>
      </c>
      <c r="J53" s="121" t="s">
        <v>45</v>
      </c>
      <c r="K53" s="121" t="s">
        <v>61</v>
      </c>
      <c r="L53" s="121" t="s">
        <v>50</v>
      </c>
      <c r="M53" s="121" t="s">
        <v>41</v>
      </c>
      <c r="N53" s="121" t="s">
        <v>63</v>
      </c>
      <c r="O53" s="121" t="s">
        <v>57</v>
      </c>
      <c r="P53" s="121" t="s">
        <v>58</v>
      </c>
      <c r="Q53" s="121" t="s">
        <v>63</v>
      </c>
      <c r="R53" s="121" t="s">
        <v>56</v>
      </c>
      <c r="S53" s="121" t="s">
        <v>49</v>
      </c>
      <c r="T53" s="121" t="s">
        <v>44</v>
      </c>
      <c r="U53" s="121" t="s">
        <v>59</v>
      </c>
      <c r="V53" s="121" t="s">
        <v>48</v>
      </c>
      <c r="W53" s="121" t="s">
        <v>54</v>
      </c>
      <c r="X53" s="121" t="s">
        <v>60</v>
      </c>
      <c r="Y53" s="121" t="s">
        <v>46</v>
      </c>
      <c r="Z53" s="122" t="s">
        <v>63</v>
      </c>
    </row>
    <row r="54" spans="1:26" ht="15" customHeight="1" x14ac:dyDescent="0.15">
      <c r="A54" s="60"/>
      <c r="B54" s="61"/>
      <c r="C54" s="47" t="s">
        <v>160</v>
      </c>
      <c r="D54" s="48">
        <v>3.7673611111111109E-2</v>
      </c>
      <c r="E54" s="48">
        <v>3.8414351851851852E-2</v>
      </c>
      <c r="F54" s="48">
        <v>4.0439814814814817E-2</v>
      </c>
      <c r="G54" s="48">
        <v>3.7465277777777778E-2</v>
      </c>
      <c r="H54" s="48">
        <v>4.0370370370370369E-2</v>
      </c>
      <c r="I54" s="48">
        <v>4.0196759259259258E-2</v>
      </c>
      <c r="J54" s="48">
        <v>3.6689814814814821E-2</v>
      </c>
      <c r="K54" s="48">
        <v>4.1504629629629627E-2</v>
      </c>
      <c r="L54" s="48">
        <v>3.8032407407407411E-2</v>
      </c>
      <c r="M54" s="48">
        <v>3.6469907407407402E-2</v>
      </c>
      <c r="N54" s="48">
        <v>0</v>
      </c>
      <c r="O54" s="48">
        <v>4.0914351851851848E-2</v>
      </c>
      <c r="P54" s="48">
        <v>4.1585648148148149E-2</v>
      </c>
      <c r="Q54" s="48">
        <v>0</v>
      </c>
      <c r="R54" s="48">
        <v>4.0972222222222222E-2</v>
      </c>
      <c r="S54" s="48">
        <v>4.08912037037037E-2</v>
      </c>
      <c r="T54" s="48">
        <v>3.6967592592592594E-2</v>
      </c>
      <c r="U54" s="48">
        <v>4.1076388888888891E-2</v>
      </c>
      <c r="V54" s="48">
        <v>4.0057870370370369E-2</v>
      </c>
      <c r="W54" s="48">
        <v>4.0520833333333332E-2</v>
      </c>
      <c r="X54" s="48">
        <v>5.2002314814814814E-2</v>
      </c>
      <c r="Y54" s="48">
        <v>4.0254629629629633E-2</v>
      </c>
      <c r="Z54" s="49">
        <v>0</v>
      </c>
    </row>
    <row r="55" spans="1:26" ht="15" customHeight="1" x14ac:dyDescent="0.15">
      <c r="A55" s="60"/>
      <c r="B55" s="61"/>
      <c r="C55" s="41" t="s">
        <v>35</v>
      </c>
      <c r="D55" s="42">
        <v>3.7673610592592589E-2</v>
      </c>
      <c r="E55" s="42">
        <v>3.8414352111111119E-2</v>
      </c>
      <c r="F55" s="42">
        <v>4.4513887259259262E-2</v>
      </c>
      <c r="G55" s="42">
        <v>3.7465277962962965E-2</v>
      </c>
      <c r="H55" s="42">
        <v>4.0543982481481479E-2</v>
      </c>
      <c r="I55" s="42">
        <v>4.0196758333333339E-2</v>
      </c>
      <c r="J55" s="42">
        <v>3.6689814666666667E-2</v>
      </c>
      <c r="K55" s="42">
        <v>4.4872684444444449E-2</v>
      </c>
      <c r="L55" s="42">
        <v>3.8032406555555558E-2</v>
      </c>
      <c r="M55" s="42">
        <v>3.6469907666666669E-2</v>
      </c>
      <c r="N55" s="42" t="s">
        <v>63</v>
      </c>
      <c r="O55" s="42">
        <v>4.7581018296296296E-2</v>
      </c>
      <c r="P55" s="42">
        <v>6.0694445111111106E-2</v>
      </c>
      <c r="Q55" s="42" t="s">
        <v>63</v>
      </c>
      <c r="R55" s="42">
        <v>4.8206020148148149E-2</v>
      </c>
      <c r="S55" s="42">
        <v>4.2789352259259256E-2</v>
      </c>
      <c r="T55" s="42">
        <v>3.6967591888888887E-2</v>
      </c>
      <c r="U55" s="42">
        <v>4.5162036925925922E-2</v>
      </c>
      <c r="V55" s="42">
        <v>4.0381944518518516E-2</v>
      </c>
      <c r="W55" s="42">
        <v>4.1064815148148151E-2</v>
      </c>
      <c r="X55" s="42">
        <v>5.695601885185185E-2</v>
      </c>
      <c r="Y55" s="42">
        <v>4.1574074111111116E-2</v>
      </c>
      <c r="Z55" s="43" t="s">
        <v>63</v>
      </c>
    </row>
    <row r="56" spans="1:26" ht="15" customHeight="1" x14ac:dyDescent="0.15">
      <c r="A56" s="60"/>
      <c r="B56" s="61"/>
      <c r="C56" s="51" t="s">
        <v>71</v>
      </c>
      <c r="D56" s="52">
        <v>5</v>
      </c>
      <c r="E56" s="52">
        <v>7</v>
      </c>
      <c r="F56" s="52">
        <v>14</v>
      </c>
      <c r="G56" s="52">
        <v>4</v>
      </c>
      <c r="H56" s="52">
        <v>10</v>
      </c>
      <c r="I56" s="52">
        <v>8</v>
      </c>
      <c r="J56" s="52">
        <v>2</v>
      </c>
      <c r="K56" s="52">
        <v>15</v>
      </c>
      <c r="L56" s="52">
        <v>6</v>
      </c>
      <c r="M56" s="52">
        <v>1</v>
      </c>
      <c r="N56" s="52" t="s">
        <v>63</v>
      </c>
      <c r="O56" s="52">
        <v>17</v>
      </c>
      <c r="P56" s="52">
        <v>20</v>
      </c>
      <c r="Q56" s="52" t="s">
        <v>63</v>
      </c>
      <c r="R56" s="52">
        <v>18</v>
      </c>
      <c r="S56" s="52">
        <v>13</v>
      </c>
      <c r="T56" s="52">
        <v>3</v>
      </c>
      <c r="U56" s="52">
        <v>16</v>
      </c>
      <c r="V56" s="52">
        <v>9</v>
      </c>
      <c r="W56" s="52">
        <v>11</v>
      </c>
      <c r="X56" s="52">
        <v>19</v>
      </c>
      <c r="Y56" s="52">
        <v>12</v>
      </c>
      <c r="Z56" s="53" t="s">
        <v>63</v>
      </c>
    </row>
    <row r="57" spans="1:26" ht="15" customHeight="1" x14ac:dyDescent="0.15">
      <c r="A57" s="54"/>
      <c r="B57" s="55"/>
      <c r="C57" s="31" t="s">
        <v>135</v>
      </c>
      <c r="D57" s="32" t="s">
        <v>436</v>
      </c>
      <c r="E57" s="32" t="s">
        <v>437</v>
      </c>
      <c r="F57" s="32" t="s">
        <v>438</v>
      </c>
      <c r="G57" s="32" t="s">
        <v>439</v>
      </c>
      <c r="H57" s="32" t="s">
        <v>440</v>
      </c>
      <c r="I57" s="32" t="s">
        <v>441</v>
      </c>
      <c r="J57" s="32" t="s">
        <v>442</v>
      </c>
      <c r="K57" s="32" t="s">
        <v>443</v>
      </c>
      <c r="L57" s="32" t="s">
        <v>444</v>
      </c>
      <c r="M57" s="32" t="s">
        <v>445</v>
      </c>
      <c r="N57" s="32">
        <v>0</v>
      </c>
      <c r="O57" s="32" t="s">
        <v>446</v>
      </c>
      <c r="P57" s="32" t="s">
        <v>447</v>
      </c>
      <c r="Q57" s="32">
        <v>0</v>
      </c>
      <c r="R57" s="32" t="s">
        <v>448</v>
      </c>
      <c r="S57" s="32" t="s">
        <v>449</v>
      </c>
      <c r="T57" s="32" t="s">
        <v>450</v>
      </c>
      <c r="U57" s="32" t="s">
        <v>451</v>
      </c>
      <c r="V57" s="32" t="s">
        <v>452</v>
      </c>
      <c r="W57" s="32" t="s">
        <v>453</v>
      </c>
      <c r="X57" s="32" t="s">
        <v>454</v>
      </c>
      <c r="Y57" s="32" t="s">
        <v>455</v>
      </c>
      <c r="Z57" s="33">
        <v>0</v>
      </c>
    </row>
    <row r="58" spans="1:26" ht="15" customHeight="1" x14ac:dyDescent="0.15">
      <c r="A58" s="34" t="s">
        <v>314</v>
      </c>
      <c r="B58" s="56"/>
      <c r="C58" s="35" t="s">
        <v>157</v>
      </c>
      <c r="D58" s="36" t="s">
        <v>456</v>
      </c>
      <c r="E58" s="36" t="s">
        <v>457</v>
      </c>
      <c r="F58" s="36" t="s">
        <v>458</v>
      </c>
      <c r="G58" s="36" t="s">
        <v>459</v>
      </c>
      <c r="H58" s="36" t="s">
        <v>460</v>
      </c>
      <c r="I58" s="36" t="s">
        <v>461</v>
      </c>
      <c r="J58" s="36" t="s">
        <v>462</v>
      </c>
      <c r="K58" s="36" t="s">
        <v>463</v>
      </c>
      <c r="L58" s="36" t="s">
        <v>464</v>
      </c>
      <c r="M58" s="36" t="s">
        <v>465</v>
      </c>
      <c r="N58" s="36">
        <v>0</v>
      </c>
      <c r="O58" s="36" t="s">
        <v>466</v>
      </c>
      <c r="P58" s="36" t="s">
        <v>467</v>
      </c>
      <c r="Q58" s="36">
        <v>0</v>
      </c>
      <c r="R58" s="36" t="s">
        <v>468</v>
      </c>
      <c r="S58" s="36" t="s">
        <v>183</v>
      </c>
      <c r="T58" s="36" t="s">
        <v>469</v>
      </c>
      <c r="U58" s="36" t="s">
        <v>470</v>
      </c>
      <c r="V58" s="36" t="s">
        <v>471</v>
      </c>
      <c r="W58" s="36" t="s">
        <v>472</v>
      </c>
      <c r="X58" s="36" t="s">
        <v>473</v>
      </c>
      <c r="Y58" s="36" t="s">
        <v>474</v>
      </c>
      <c r="Z58" s="37">
        <v>0</v>
      </c>
    </row>
    <row r="59" spans="1:26" ht="16.5" customHeight="1" thickBot="1" x14ac:dyDescent="0.2">
      <c r="A59" s="34"/>
      <c r="B59" s="56"/>
      <c r="C59" s="38" t="s">
        <v>184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7">
        <v>0</v>
      </c>
      <c r="P59" s="57">
        <v>0</v>
      </c>
      <c r="Q59" s="57">
        <v>0</v>
      </c>
      <c r="R59" s="57">
        <v>0</v>
      </c>
      <c r="S59" s="57">
        <v>0</v>
      </c>
      <c r="T59" s="57">
        <v>0</v>
      </c>
      <c r="U59" s="57">
        <v>0</v>
      </c>
      <c r="V59" s="57">
        <v>0</v>
      </c>
      <c r="W59" s="57">
        <v>0</v>
      </c>
      <c r="X59" s="57">
        <v>0</v>
      </c>
      <c r="Y59" s="57">
        <v>0</v>
      </c>
      <c r="Z59" s="58">
        <v>0</v>
      </c>
    </row>
    <row r="60" spans="1:26" ht="17.25" hidden="1" customHeight="1" thickBot="1" x14ac:dyDescent="0.2">
      <c r="A60" s="34"/>
      <c r="B60" s="56"/>
      <c r="C60" s="38" t="s">
        <v>185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40">
        <v>0</v>
      </c>
    </row>
    <row r="61" spans="1:26" ht="17.25" customHeight="1" thickBot="1" x14ac:dyDescent="0.2">
      <c r="A61" s="75">
        <v>2.2999999999999998</v>
      </c>
      <c r="B61" s="76" t="s">
        <v>318</v>
      </c>
      <c r="C61" s="41" t="s">
        <v>315</v>
      </c>
      <c r="D61" s="42">
        <v>5.3356480000000001E-3</v>
      </c>
      <c r="E61" s="42">
        <v>6.5277779999999997E-3</v>
      </c>
      <c r="F61" s="42">
        <v>6.1226850000000001E-3</v>
      </c>
      <c r="G61" s="42">
        <v>6.2962959999999998E-3</v>
      </c>
      <c r="H61" s="42">
        <v>6.9328699999999998E-3</v>
      </c>
      <c r="I61" s="42">
        <v>5.868056E-3</v>
      </c>
      <c r="J61" s="42">
        <v>6.1689809999999996E-3</v>
      </c>
      <c r="K61" s="42">
        <v>7.175926E-3</v>
      </c>
      <c r="L61" s="42">
        <v>5.8333329999999996E-3</v>
      </c>
      <c r="M61" s="42">
        <v>6.0648150000000003E-3</v>
      </c>
      <c r="N61" s="42">
        <v>0</v>
      </c>
      <c r="O61" s="42">
        <v>6.8518520000000003E-3</v>
      </c>
      <c r="P61" s="42">
        <v>7.1875000000000003E-3</v>
      </c>
      <c r="Q61" s="42">
        <v>0</v>
      </c>
      <c r="R61" s="42">
        <v>6.5740740000000001E-3</v>
      </c>
      <c r="S61" s="42">
        <v>7.1875000000000003E-3</v>
      </c>
      <c r="T61" s="42">
        <v>6.4120369999999998E-3</v>
      </c>
      <c r="U61" s="42">
        <v>6.5509260000000003E-3</v>
      </c>
      <c r="V61" s="42">
        <v>6.3194439999999996E-3</v>
      </c>
      <c r="W61" s="42">
        <v>6.8171300000000002E-3</v>
      </c>
      <c r="X61" s="42">
        <v>1.7604167E-2</v>
      </c>
      <c r="Y61" s="42">
        <v>6.4699069999999996E-3</v>
      </c>
      <c r="Z61" s="43">
        <v>0</v>
      </c>
    </row>
    <row r="62" spans="1:26" ht="17.25" customHeight="1" x14ac:dyDescent="0.15">
      <c r="A62" s="44">
        <v>15.032679738562091</v>
      </c>
      <c r="B62" s="77" t="b">
        <v>1</v>
      </c>
      <c r="C62" s="41" t="s">
        <v>316</v>
      </c>
      <c r="D62" s="121" t="s">
        <v>41</v>
      </c>
      <c r="E62" s="121" t="s">
        <v>51</v>
      </c>
      <c r="F62" s="121" t="s">
        <v>47</v>
      </c>
      <c r="G62" s="121" t="s">
        <v>48</v>
      </c>
      <c r="H62" s="121" t="s">
        <v>56</v>
      </c>
      <c r="I62" s="121" t="s">
        <v>43</v>
      </c>
      <c r="J62" s="121" t="s">
        <v>44</v>
      </c>
      <c r="K62" s="121" t="s">
        <v>59</v>
      </c>
      <c r="L62" s="121" t="s">
        <v>42</v>
      </c>
      <c r="M62" s="121" t="s">
        <v>45</v>
      </c>
      <c r="N62" s="121" t="s">
        <v>63</v>
      </c>
      <c r="O62" s="121" t="s">
        <v>57</v>
      </c>
      <c r="P62" s="121" t="s">
        <v>614</v>
      </c>
      <c r="Q62" s="121" t="s">
        <v>63</v>
      </c>
      <c r="R62" s="121" t="s">
        <v>54</v>
      </c>
      <c r="S62" s="121" t="s">
        <v>614</v>
      </c>
      <c r="T62" s="121" t="s">
        <v>46</v>
      </c>
      <c r="U62" s="121" t="s">
        <v>53</v>
      </c>
      <c r="V62" s="121" t="s">
        <v>52</v>
      </c>
      <c r="W62" s="121" t="s">
        <v>49</v>
      </c>
      <c r="X62" s="121" t="s">
        <v>60</v>
      </c>
      <c r="Y62" s="121" t="s">
        <v>50</v>
      </c>
      <c r="Z62" s="122" t="s">
        <v>63</v>
      </c>
    </row>
    <row r="63" spans="1:26" ht="17.25" customHeight="1" x14ac:dyDescent="0.15">
      <c r="A63" s="60"/>
      <c r="B63" s="61"/>
      <c r="C63" s="47" t="s">
        <v>160</v>
      </c>
      <c r="D63" s="48">
        <v>4.3009259259259254E-2</v>
      </c>
      <c r="E63" s="48">
        <v>4.494212962962963E-2</v>
      </c>
      <c r="F63" s="48">
        <v>4.65625E-2</v>
      </c>
      <c r="G63" s="48">
        <v>4.3761574074074078E-2</v>
      </c>
      <c r="H63" s="48">
        <v>4.7303240740740743E-2</v>
      </c>
      <c r="I63" s="48">
        <v>4.6064814814814815E-2</v>
      </c>
      <c r="J63" s="48">
        <v>4.2858796296296298E-2</v>
      </c>
      <c r="K63" s="48">
        <v>4.868055555555556E-2</v>
      </c>
      <c r="L63" s="48">
        <v>4.386574074074074E-2</v>
      </c>
      <c r="M63" s="48">
        <v>4.2534722222222217E-2</v>
      </c>
      <c r="N63" s="48">
        <v>0</v>
      </c>
      <c r="O63" s="48">
        <v>4.7766203703703707E-2</v>
      </c>
      <c r="P63" s="48">
        <v>4.8773148148148149E-2</v>
      </c>
      <c r="Q63" s="48">
        <v>0</v>
      </c>
      <c r="R63" s="48">
        <v>4.7546296296296302E-2</v>
      </c>
      <c r="S63" s="48">
        <v>4.8078703703703707E-2</v>
      </c>
      <c r="T63" s="48">
        <v>4.3379629629629629E-2</v>
      </c>
      <c r="U63" s="48">
        <v>4.762731481481481E-2</v>
      </c>
      <c r="V63" s="48">
        <v>4.6377314814814809E-2</v>
      </c>
      <c r="W63" s="48">
        <v>4.7337962962962964E-2</v>
      </c>
      <c r="X63" s="48">
        <v>6.9606481481481478E-2</v>
      </c>
      <c r="Y63" s="48">
        <v>4.6724537037037044E-2</v>
      </c>
      <c r="Z63" s="49">
        <v>0</v>
      </c>
    </row>
    <row r="64" spans="1:26" ht="23.25" customHeight="1" x14ac:dyDescent="0.15">
      <c r="A64" s="60"/>
      <c r="B64" s="61"/>
      <c r="C64" s="107" t="s">
        <v>287</v>
      </c>
      <c r="D64" s="108">
        <v>4.3009258592592588E-2</v>
      </c>
      <c r="E64" s="108">
        <v>4.4942130111111117E-2</v>
      </c>
      <c r="F64" s="108">
        <v>5.0636572259259265E-2</v>
      </c>
      <c r="G64" s="108">
        <v>4.3761573962962964E-2</v>
      </c>
      <c r="H64" s="108">
        <v>4.747685248148148E-2</v>
      </c>
      <c r="I64" s="108">
        <v>4.6064814333333343E-2</v>
      </c>
      <c r="J64" s="108">
        <v>4.2858795666666664E-2</v>
      </c>
      <c r="K64" s="108">
        <v>5.2048610444444449E-2</v>
      </c>
      <c r="L64" s="108">
        <v>4.3865739555555561E-2</v>
      </c>
      <c r="M64" s="108">
        <v>4.253472266666667E-2</v>
      </c>
      <c r="N64" s="108" t="s">
        <v>63</v>
      </c>
      <c r="O64" s="108">
        <v>5.4432870296296294E-2</v>
      </c>
      <c r="P64" s="108">
        <v>6.7881945111111106E-2</v>
      </c>
      <c r="Q64" s="108" t="s">
        <v>63</v>
      </c>
      <c r="R64" s="108">
        <v>5.4780094148148148E-2</v>
      </c>
      <c r="S64" s="108">
        <v>4.9976852259259255E-2</v>
      </c>
      <c r="T64" s="108">
        <v>4.337962888888889E-2</v>
      </c>
      <c r="U64" s="108">
        <v>5.171296292592592E-2</v>
      </c>
      <c r="V64" s="108">
        <v>4.6701388518518516E-2</v>
      </c>
      <c r="W64" s="108">
        <v>4.7881945148148149E-2</v>
      </c>
      <c r="X64" s="108">
        <v>7.4560185851851854E-2</v>
      </c>
      <c r="Y64" s="108">
        <v>4.8043981111111113E-2</v>
      </c>
      <c r="Z64" s="109" t="s">
        <v>63</v>
      </c>
    </row>
    <row r="65" spans="1:26" ht="23.25" customHeight="1" x14ac:dyDescent="0.15">
      <c r="A65" s="183" t="s">
        <v>317</v>
      </c>
      <c r="B65" s="184"/>
      <c r="C65" s="185"/>
      <c r="D65" s="125" t="s">
        <v>43</v>
      </c>
      <c r="E65" s="125" t="s">
        <v>48</v>
      </c>
      <c r="F65" s="125" t="s">
        <v>49</v>
      </c>
      <c r="G65" s="125" t="s">
        <v>47</v>
      </c>
      <c r="H65" s="125" t="s">
        <v>50</v>
      </c>
      <c r="I65" s="125" t="s">
        <v>52</v>
      </c>
      <c r="J65" s="125" t="s">
        <v>42</v>
      </c>
      <c r="K65" s="125" t="s">
        <v>56</v>
      </c>
      <c r="L65" s="125" t="s">
        <v>44</v>
      </c>
      <c r="M65" s="125" t="s">
        <v>41</v>
      </c>
      <c r="N65" s="125" t="s">
        <v>63</v>
      </c>
      <c r="O65" s="125" t="s">
        <v>59</v>
      </c>
      <c r="P65" s="125" t="s">
        <v>58</v>
      </c>
      <c r="Q65" s="125" t="s">
        <v>63</v>
      </c>
      <c r="R65" s="125" t="s">
        <v>61</v>
      </c>
      <c r="S65" s="125" t="s">
        <v>54</v>
      </c>
      <c r="T65" s="125" t="s">
        <v>45</v>
      </c>
      <c r="U65" s="125" t="s">
        <v>57</v>
      </c>
      <c r="V65" s="125" t="s">
        <v>46</v>
      </c>
      <c r="W65" s="125" t="s">
        <v>51</v>
      </c>
      <c r="X65" s="125" t="s">
        <v>60</v>
      </c>
      <c r="Y65" s="125" t="s">
        <v>53</v>
      </c>
      <c r="Z65" s="126" t="s">
        <v>63</v>
      </c>
    </row>
    <row r="66" spans="1:26" ht="16.5" hidden="1" customHeight="1" x14ac:dyDescent="0.15">
      <c r="A66" s="137"/>
      <c r="B66" s="138"/>
      <c r="C66" s="139"/>
      <c r="D66" s="125">
        <v>3</v>
      </c>
      <c r="E66" s="125">
        <v>7</v>
      </c>
      <c r="F66" s="125">
        <v>14</v>
      </c>
      <c r="G66" s="125">
        <v>5</v>
      </c>
      <c r="H66" s="125">
        <v>10</v>
      </c>
      <c r="I66" s="125">
        <v>8</v>
      </c>
      <c r="J66" s="125">
        <v>2</v>
      </c>
      <c r="K66" s="125">
        <v>16</v>
      </c>
      <c r="L66" s="125">
        <v>6</v>
      </c>
      <c r="M66" s="125">
        <v>1</v>
      </c>
      <c r="N66" s="125" t="s">
        <v>63</v>
      </c>
      <c r="O66" s="125">
        <v>17</v>
      </c>
      <c r="P66" s="125">
        <v>19</v>
      </c>
      <c r="Q66" s="125" t="s">
        <v>63</v>
      </c>
      <c r="R66" s="125">
        <v>18</v>
      </c>
      <c r="S66" s="125">
        <v>13</v>
      </c>
      <c r="T66" s="125">
        <v>4</v>
      </c>
      <c r="U66" s="125">
        <v>15</v>
      </c>
      <c r="V66" s="125">
        <v>9</v>
      </c>
      <c r="W66" s="125">
        <v>11</v>
      </c>
      <c r="X66" s="125">
        <v>20</v>
      </c>
      <c r="Y66" s="125">
        <v>12</v>
      </c>
      <c r="Z66" s="126"/>
    </row>
    <row r="67" spans="1:26" ht="21.75" customHeight="1" x14ac:dyDescent="0.15">
      <c r="A67" s="172" t="s">
        <v>289</v>
      </c>
      <c r="B67" s="173"/>
      <c r="C67" s="174"/>
      <c r="D67" s="127" t="s">
        <v>298</v>
      </c>
      <c r="E67" s="127" t="s">
        <v>299</v>
      </c>
      <c r="F67" s="127" t="s">
        <v>475</v>
      </c>
      <c r="G67" s="127" t="s">
        <v>291</v>
      </c>
      <c r="H67" s="127" t="s">
        <v>476</v>
      </c>
      <c r="I67" s="127" t="s">
        <v>295</v>
      </c>
      <c r="J67" s="127" t="s">
        <v>296</v>
      </c>
      <c r="K67" s="127" t="s">
        <v>477</v>
      </c>
      <c r="L67" s="127" t="s">
        <v>292</v>
      </c>
      <c r="M67" s="127" t="s">
        <v>294</v>
      </c>
      <c r="N67" s="127" t="s">
        <v>63</v>
      </c>
      <c r="O67" s="127" t="s">
        <v>310</v>
      </c>
      <c r="P67" s="127" t="s">
        <v>305</v>
      </c>
      <c r="Q67" s="127" t="s">
        <v>63</v>
      </c>
      <c r="R67" s="127" t="s">
        <v>300</v>
      </c>
      <c r="S67" s="127" t="s">
        <v>478</v>
      </c>
      <c r="T67" s="127" t="s">
        <v>307</v>
      </c>
      <c r="U67" s="127" t="s">
        <v>479</v>
      </c>
      <c r="V67" s="127" t="s">
        <v>480</v>
      </c>
      <c r="W67" s="127" t="s">
        <v>481</v>
      </c>
      <c r="X67" s="127" t="s">
        <v>303</v>
      </c>
      <c r="Y67" s="127" t="s">
        <v>482</v>
      </c>
      <c r="Z67" s="128" t="s">
        <v>63</v>
      </c>
    </row>
    <row r="68" spans="1:26" ht="21.75" customHeight="1" x14ac:dyDescent="0.15">
      <c r="A68" s="186" t="s">
        <v>311</v>
      </c>
      <c r="B68" s="187"/>
      <c r="C68" s="188"/>
      <c r="D68" s="129" t="s">
        <v>19</v>
      </c>
      <c r="E68" s="129" t="s">
        <v>11</v>
      </c>
      <c r="F68" s="129" t="s">
        <v>13</v>
      </c>
      <c r="G68" s="129" t="s">
        <v>16</v>
      </c>
      <c r="H68" s="129" t="s">
        <v>12</v>
      </c>
      <c r="I68" s="129" t="s">
        <v>17</v>
      </c>
      <c r="J68" s="129" t="s">
        <v>18</v>
      </c>
      <c r="K68" s="129" t="s">
        <v>15</v>
      </c>
      <c r="L68" s="129" t="s">
        <v>14</v>
      </c>
      <c r="M68" s="129" t="s">
        <v>10</v>
      </c>
      <c r="N68" s="129" t="s">
        <v>21</v>
      </c>
      <c r="O68" s="129" t="s">
        <v>29</v>
      </c>
      <c r="P68" s="129" t="s">
        <v>31</v>
      </c>
      <c r="Q68" s="129" t="s">
        <v>25</v>
      </c>
      <c r="R68" s="129" t="s">
        <v>24</v>
      </c>
      <c r="S68" s="129" t="s">
        <v>30</v>
      </c>
      <c r="T68" s="129" t="s">
        <v>20</v>
      </c>
      <c r="U68" s="129" t="s">
        <v>23</v>
      </c>
      <c r="V68" s="129" t="s">
        <v>32</v>
      </c>
      <c r="W68" s="129" t="s">
        <v>26</v>
      </c>
      <c r="X68" s="129" t="s">
        <v>22</v>
      </c>
      <c r="Y68" s="129" t="s">
        <v>28</v>
      </c>
      <c r="Z68" s="136" t="s">
        <v>27</v>
      </c>
    </row>
    <row r="69" spans="1:26" ht="21.75" hidden="1" customHeight="1" x14ac:dyDescent="0.15">
      <c r="A69" s="140"/>
      <c r="B69" s="141"/>
      <c r="C69" s="142"/>
      <c r="D69" s="131">
        <v>4.3009258592592588E-2</v>
      </c>
      <c r="E69" s="131">
        <v>4.4942130111111117E-2</v>
      </c>
      <c r="F69" s="131">
        <v>5.0636572259259265E-2</v>
      </c>
      <c r="G69" s="131">
        <v>4.3761573962962964E-2</v>
      </c>
      <c r="H69" s="131">
        <v>4.747685248148148E-2</v>
      </c>
      <c r="I69" s="131">
        <v>4.6064814333333343E-2</v>
      </c>
      <c r="J69" s="131">
        <v>4.2858795666666664E-2</v>
      </c>
      <c r="K69" s="131">
        <v>5.2048610444444449E-2</v>
      </c>
      <c r="L69" s="131">
        <v>4.3865739555555561E-2</v>
      </c>
      <c r="M69" s="131">
        <v>4.253472266666667E-2</v>
      </c>
      <c r="N69" s="131" t="s">
        <v>63</v>
      </c>
      <c r="O69" s="131">
        <v>5.4432870296296294E-2</v>
      </c>
      <c r="P69" s="131">
        <v>6.7881945111111106E-2</v>
      </c>
      <c r="Q69" s="131" t="s">
        <v>63</v>
      </c>
      <c r="R69" s="131">
        <v>5.4780094148148148E-2</v>
      </c>
      <c r="S69" s="131">
        <v>4.9976852259259255E-2</v>
      </c>
      <c r="T69" s="131">
        <v>4.337962888888889E-2</v>
      </c>
      <c r="U69" s="131">
        <v>5.171296292592592E-2</v>
      </c>
      <c r="V69" s="131">
        <v>4.6701388518518516E-2</v>
      </c>
      <c r="W69" s="131">
        <v>4.7881945148148149E-2</v>
      </c>
      <c r="X69" s="131">
        <v>7.4560185851851854E-2</v>
      </c>
      <c r="Y69" s="131">
        <v>4.8043981111111113E-2</v>
      </c>
      <c r="Z69" s="132" t="s">
        <v>63</v>
      </c>
    </row>
    <row r="70" spans="1:26" ht="20.25" customHeight="1" thickBot="1" x14ac:dyDescent="0.2">
      <c r="A70" s="169" t="s">
        <v>312</v>
      </c>
      <c r="B70" s="170"/>
      <c r="C70" s="171"/>
      <c r="D70" s="133"/>
      <c r="E70" s="133"/>
      <c r="F70" s="134"/>
      <c r="G70" s="133"/>
      <c r="H70" s="133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3"/>
      <c r="X70" s="133"/>
      <c r="Y70" s="134"/>
      <c r="Z70" s="135"/>
    </row>
    <row r="71" spans="1:26" ht="18" customHeight="1" x14ac:dyDescent="0.15">
      <c r="D71" s="110" t="s">
        <v>73</v>
      </c>
    </row>
    <row r="72" spans="1:26" ht="17.25" customHeight="1" x14ac:dyDescent="0.15">
      <c r="D72" s="103" t="s">
        <v>74</v>
      </c>
      <c r="I72" s="111"/>
    </row>
    <row r="73" spans="1:26" x14ac:dyDescent="0.15">
      <c r="D73" s="103" t="s">
        <v>75</v>
      </c>
    </row>
    <row r="74" spans="1:26" ht="13.5" customHeight="1" x14ac:dyDescent="0.15">
      <c r="D74" s="111"/>
    </row>
    <row r="75" spans="1:26" ht="12.75" customHeight="1" x14ac:dyDescent="0.15">
      <c r="J75" s="106"/>
      <c r="K75" s="106"/>
      <c r="L75" s="106"/>
      <c r="M75" s="106"/>
    </row>
    <row r="76" spans="1:26" ht="12.75" customHeight="1" x14ac:dyDescent="0.15"/>
    <row r="77" spans="1:26" ht="12.75" customHeight="1" x14ac:dyDescent="0.15"/>
    <row r="78" spans="1:26" ht="12.75" customHeight="1" x14ac:dyDescent="0.15"/>
    <row r="79" spans="1:26" ht="13.5" customHeight="1" x14ac:dyDescent="0.15"/>
    <row r="80" spans="1:26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110" spans="3:26" hidden="1" x14ac:dyDescent="0.15">
      <c r="D110" s="114" t="s">
        <v>76</v>
      </c>
      <c r="E110" s="114" t="s">
        <v>77</v>
      </c>
      <c r="F110" s="114" t="s">
        <v>78</v>
      </c>
      <c r="G110" s="114" t="s">
        <v>79</v>
      </c>
      <c r="H110" s="114" t="s">
        <v>80</v>
      </c>
      <c r="I110" s="114" t="s">
        <v>81</v>
      </c>
      <c r="J110" s="114" t="s">
        <v>82</v>
      </c>
      <c r="K110" s="114" t="s">
        <v>83</v>
      </c>
      <c r="L110" s="114" t="s">
        <v>84</v>
      </c>
      <c r="M110" s="114" t="s">
        <v>85</v>
      </c>
      <c r="N110" s="114" t="s">
        <v>86</v>
      </c>
      <c r="O110" s="114" t="s">
        <v>87</v>
      </c>
      <c r="P110" s="114" t="s">
        <v>88</v>
      </c>
      <c r="Q110" s="114" t="s">
        <v>89</v>
      </c>
      <c r="R110" s="114" t="s">
        <v>90</v>
      </c>
      <c r="S110" s="114" t="s">
        <v>91</v>
      </c>
      <c r="T110" s="114" t="s">
        <v>92</v>
      </c>
      <c r="U110" s="114" t="s">
        <v>93</v>
      </c>
      <c r="V110" s="114" t="s">
        <v>94</v>
      </c>
      <c r="W110" s="114" t="s">
        <v>95</v>
      </c>
      <c r="X110" s="114" t="s">
        <v>96</v>
      </c>
      <c r="Y110" s="114" t="s">
        <v>97</v>
      </c>
      <c r="Z110" s="115" t="s">
        <v>98</v>
      </c>
    </row>
    <row r="111" spans="3:26" x14ac:dyDescent="0.15">
      <c r="C111" s="2"/>
    </row>
    <row r="112" spans="3:26" x14ac:dyDescent="0.15">
      <c r="C112" s="2" t="s">
        <v>71</v>
      </c>
      <c r="D112" s="2" t="s">
        <v>48</v>
      </c>
      <c r="E112" s="2" t="s">
        <v>50</v>
      </c>
      <c r="F112" s="2" t="s">
        <v>46</v>
      </c>
      <c r="G112" s="2" t="s">
        <v>52</v>
      </c>
      <c r="H112" s="2" t="s">
        <v>42</v>
      </c>
      <c r="I112" s="2" t="s">
        <v>47</v>
      </c>
      <c r="J112" s="2" t="s">
        <v>45</v>
      </c>
      <c r="K112" s="2" t="s">
        <v>51</v>
      </c>
      <c r="L112" s="2" t="s">
        <v>56</v>
      </c>
      <c r="M112" s="2" t="s">
        <v>41</v>
      </c>
      <c r="N112" s="2" t="s">
        <v>54</v>
      </c>
      <c r="O112" s="2" t="s">
        <v>62</v>
      </c>
      <c r="P112" s="2" t="s">
        <v>55</v>
      </c>
      <c r="Q112" s="2" t="s">
        <v>59</v>
      </c>
      <c r="R112" s="2" t="s">
        <v>53</v>
      </c>
      <c r="S112" s="2" t="s">
        <v>49</v>
      </c>
      <c r="T112" s="2" t="s">
        <v>43</v>
      </c>
      <c r="U112" s="2" t="s">
        <v>58</v>
      </c>
      <c r="V112" s="2" t="s">
        <v>44</v>
      </c>
      <c r="W112" s="2" t="s">
        <v>61</v>
      </c>
      <c r="X112" s="2" t="s">
        <v>57</v>
      </c>
      <c r="Y112" s="2" t="s">
        <v>60</v>
      </c>
      <c r="Z112" s="2" t="s">
        <v>63</v>
      </c>
    </row>
    <row r="113" spans="3:26" x14ac:dyDescent="0.15">
      <c r="C113" s="112"/>
      <c r="D113" s="74" t="s">
        <v>19</v>
      </c>
      <c r="E113" s="74" t="s">
        <v>11</v>
      </c>
      <c r="F113" s="74" t="s">
        <v>13</v>
      </c>
      <c r="G113" s="74" t="s">
        <v>16</v>
      </c>
      <c r="H113" s="74" t="s">
        <v>12</v>
      </c>
      <c r="I113" s="74" t="s">
        <v>17</v>
      </c>
      <c r="J113" s="74" t="s">
        <v>18</v>
      </c>
      <c r="K113" s="74" t="s">
        <v>15</v>
      </c>
      <c r="L113" s="74" t="s">
        <v>14</v>
      </c>
      <c r="M113" s="74" t="s">
        <v>10</v>
      </c>
      <c r="N113" s="74" t="s">
        <v>21</v>
      </c>
      <c r="O113" s="74" t="s">
        <v>29</v>
      </c>
      <c r="P113" s="74" t="s">
        <v>31</v>
      </c>
      <c r="Q113" s="74" t="s">
        <v>25</v>
      </c>
      <c r="R113" s="74" t="s">
        <v>24</v>
      </c>
      <c r="S113" s="74" t="s">
        <v>30</v>
      </c>
      <c r="T113" s="74" t="s">
        <v>20</v>
      </c>
      <c r="U113" s="74" t="s">
        <v>23</v>
      </c>
      <c r="V113" s="74" t="s">
        <v>32</v>
      </c>
      <c r="W113" s="74" t="s">
        <v>26</v>
      </c>
      <c r="X113" s="74" t="s">
        <v>22</v>
      </c>
      <c r="Y113" s="74" t="s">
        <v>28</v>
      </c>
      <c r="Z113" s="74" t="s">
        <v>27</v>
      </c>
    </row>
    <row r="114" spans="3:26" x14ac:dyDescent="0.15">
      <c r="C114" s="112" t="s">
        <v>70</v>
      </c>
      <c r="D114" s="113">
        <v>6.4004629629629628E-3</v>
      </c>
      <c r="E114" s="113">
        <v>7.037037037037037E-3</v>
      </c>
      <c r="F114" s="113">
        <v>6.851851851851852E-3</v>
      </c>
      <c r="G114" s="113">
        <v>6.7939814814814816E-3</v>
      </c>
      <c r="H114" s="113">
        <v>6.5162037037037037E-3</v>
      </c>
      <c r="I114" s="113">
        <v>6.5509259259259262E-3</v>
      </c>
      <c r="J114" s="113">
        <v>6.1574074074074074E-3</v>
      </c>
      <c r="K114" s="113">
        <v>7.3842592592592597E-3</v>
      </c>
      <c r="L114" s="113">
        <v>7.3263888888888892E-3</v>
      </c>
      <c r="M114" s="113">
        <v>5.7407407407407416E-3</v>
      </c>
      <c r="N114" s="113">
        <v>6.9560185185185185E-3</v>
      </c>
      <c r="O114" s="113">
        <v>8.113425925925925E-3</v>
      </c>
      <c r="P114" s="113">
        <v>8.8888888888888889E-3</v>
      </c>
      <c r="Q114" s="113">
        <v>8.1712962962962963E-3</v>
      </c>
      <c r="R114" s="113">
        <v>6.9907407407407409E-3</v>
      </c>
      <c r="S114" s="113">
        <v>7.6620370370370366E-3</v>
      </c>
      <c r="T114" s="113">
        <v>6.076388888888889E-3</v>
      </c>
      <c r="U114" s="113">
        <v>8.2060185185185187E-3</v>
      </c>
      <c r="V114" s="113">
        <v>6.6550925925925935E-3</v>
      </c>
      <c r="W114" s="113">
        <v>7.5462962962962966E-3</v>
      </c>
      <c r="X114" s="113">
        <v>6.9444444444444441E-3</v>
      </c>
      <c r="Y114" s="113">
        <v>8.8657407407407417E-3</v>
      </c>
      <c r="Z114" s="113">
        <v>0</v>
      </c>
    </row>
    <row r="115" spans="3:26" x14ac:dyDescent="0.15">
      <c r="C115" s="112" t="s">
        <v>72</v>
      </c>
      <c r="D115" s="113">
        <v>6.9675925925925938E-3</v>
      </c>
      <c r="E115" s="113">
        <v>6.6782407407407407E-3</v>
      </c>
      <c r="F115" s="113">
        <v>6.2847222222222245E-3</v>
      </c>
      <c r="G115" s="113">
        <v>6.5509259259259262E-3</v>
      </c>
      <c r="H115" s="113">
        <v>6.4467592592592588E-3</v>
      </c>
      <c r="I115" s="113">
        <v>6.4930555555555566E-3</v>
      </c>
      <c r="J115" s="113">
        <v>6.6666666666666654E-3</v>
      </c>
      <c r="K115" s="113">
        <v>6.0416666666666648E-3</v>
      </c>
      <c r="L115" s="113">
        <v>6.7824074074074054E-3</v>
      </c>
      <c r="M115" s="113">
        <v>6.3888888888888875E-3</v>
      </c>
      <c r="N115" s="113">
        <v>7.0138888888888898E-3</v>
      </c>
      <c r="O115" s="113">
        <v>9.4097222222222238E-3</v>
      </c>
      <c r="P115" s="113">
        <v>9.4212962962962974E-3</v>
      </c>
      <c r="Q115" s="113">
        <v>7.673611111111112E-3</v>
      </c>
      <c r="R115" s="113">
        <v>6.8402777777777793E-3</v>
      </c>
      <c r="S115" s="113">
        <v>6.9560185185185194E-3</v>
      </c>
      <c r="T115" s="113">
        <v>6.3657407407407404E-3</v>
      </c>
      <c r="U115" s="113">
        <v>7.6041666666666653E-3</v>
      </c>
      <c r="V115" s="113">
        <v>6.4583333333333324E-3</v>
      </c>
      <c r="W115" s="113">
        <v>7.6504629629629622E-3</v>
      </c>
      <c r="X115" s="113">
        <v>7.1064814814814827E-3</v>
      </c>
      <c r="Y115" s="113">
        <v>8.6574074074074071E-3</v>
      </c>
      <c r="Z115" s="113">
        <v>0</v>
      </c>
    </row>
    <row r="116" spans="3:26" x14ac:dyDescent="0.15">
      <c r="C116" s="112" t="s">
        <v>64</v>
      </c>
      <c r="D116" s="113">
        <v>4.5138888888888867E-3</v>
      </c>
      <c r="E116" s="113">
        <v>4.9652777777777768E-3</v>
      </c>
      <c r="F116" s="113">
        <v>4.7106481481481461E-3</v>
      </c>
      <c r="G116" s="113">
        <v>4.9189814814814808E-3</v>
      </c>
      <c r="H116" s="113">
        <v>4.2476851851851859E-3</v>
      </c>
      <c r="I116" s="113">
        <v>4.6759259259259237E-3</v>
      </c>
      <c r="J116" s="113">
        <v>4.5138888888888885E-3</v>
      </c>
      <c r="K116" s="113">
        <v>4.9768518518518538E-3</v>
      </c>
      <c r="L116" s="113">
        <v>4.9884259259259257E-3</v>
      </c>
      <c r="M116" s="113">
        <v>4.3171296296296326E-3</v>
      </c>
      <c r="N116" s="113">
        <v>5.6134259259259228E-3</v>
      </c>
      <c r="O116" s="113">
        <v>5.9143518518518512E-3</v>
      </c>
      <c r="P116" s="113">
        <v>6.2268518518518515E-3</v>
      </c>
      <c r="Q116" s="113">
        <v>5.6134259259259245E-3</v>
      </c>
      <c r="R116" s="113">
        <v>5.0462962962962953E-3</v>
      </c>
      <c r="S116" s="113">
        <v>5.3009259259259259E-3</v>
      </c>
      <c r="T116" s="113">
        <v>4.6180555555555558E-3</v>
      </c>
      <c r="U116" s="113">
        <v>5.8217592592592592E-3</v>
      </c>
      <c r="V116" s="113">
        <v>5.138888888888889E-3</v>
      </c>
      <c r="W116" s="113">
        <v>5.6828703703703676E-3</v>
      </c>
      <c r="X116" s="113">
        <v>6.2500000000000003E-3</v>
      </c>
      <c r="Y116" s="113">
        <v>5.7870370370370385E-3</v>
      </c>
      <c r="Z116" s="113">
        <v>0</v>
      </c>
    </row>
    <row r="117" spans="3:26" x14ac:dyDescent="0.15">
      <c r="C117" s="112" t="s">
        <v>65</v>
      </c>
      <c r="D117" s="113">
        <v>4.9074074074074089E-3</v>
      </c>
      <c r="E117" s="113">
        <v>5.1388888888888908E-3</v>
      </c>
      <c r="F117" s="113">
        <v>4.733796296296295E-3</v>
      </c>
      <c r="G117" s="113">
        <v>4.7222222222222214E-3</v>
      </c>
      <c r="H117" s="113">
        <v>4.6064814814814822E-3</v>
      </c>
      <c r="I117" s="113">
        <v>4.9189814814814825E-3</v>
      </c>
      <c r="J117" s="113">
        <v>4.9884259259259239E-3</v>
      </c>
      <c r="K117" s="113">
        <v>4.9305555555555561E-3</v>
      </c>
      <c r="L117" s="113">
        <v>5.7407407407407442E-3</v>
      </c>
      <c r="M117" s="113">
        <v>4.907407407407402E-3</v>
      </c>
      <c r="N117" s="113">
        <v>5.5324074074074095E-3</v>
      </c>
      <c r="O117" s="113">
        <v>6.0648148148148145E-3</v>
      </c>
      <c r="P117" s="113">
        <v>6.2615740740740722E-3</v>
      </c>
      <c r="Q117" s="113">
        <v>5.5902777777777773E-3</v>
      </c>
      <c r="R117" s="113">
        <v>5.4050925925925933E-3</v>
      </c>
      <c r="S117" s="113">
        <v>5.5787037037037072E-3</v>
      </c>
      <c r="T117" s="113">
        <v>5.185185185185185E-3</v>
      </c>
      <c r="U117" s="113">
        <v>6.5740740740740759E-3</v>
      </c>
      <c r="V117" s="113">
        <v>4.7222222222222249E-3</v>
      </c>
      <c r="W117" s="113">
        <v>5.4166666666666669E-3</v>
      </c>
      <c r="X117" s="113">
        <v>5.1157407407407401E-3</v>
      </c>
      <c r="Y117" s="113">
        <v>6.1574074074074031E-3</v>
      </c>
      <c r="Z117" s="113">
        <v>0</v>
      </c>
    </row>
    <row r="118" spans="3:26" x14ac:dyDescent="0.15">
      <c r="C118" s="112" t="s">
        <v>66</v>
      </c>
      <c r="D118" s="113">
        <v>5.439814814814814E-3</v>
      </c>
      <c r="E118" s="113">
        <v>5.6134259259259245E-3</v>
      </c>
      <c r="F118" s="113">
        <v>5.3009259259259277E-3</v>
      </c>
      <c r="G118" s="113">
        <v>5.6018518518518544E-3</v>
      </c>
      <c r="H118" s="113">
        <v>5.1157407407407401E-3</v>
      </c>
      <c r="I118" s="113">
        <v>5.3587962962962955E-3</v>
      </c>
      <c r="J118" s="113">
        <v>5.6250000000000015E-3</v>
      </c>
      <c r="K118" s="113">
        <v>5.8449074074074063E-3</v>
      </c>
      <c r="L118" s="113">
        <v>6.3194444444444435E-3</v>
      </c>
      <c r="M118" s="113">
        <v>5.0231481481481516E-3</v>
      </c>
      <c r="N118" s="113">
        <v>5.8333333333333362E-3</v>
      </c>
      <c r="O118" s="113">
        <v>7.0949074074074109E-3</v>
      </c>
      <c r="P118" s="113">
        <v>7.9398148148148162E-3</v>
      </c>
      <c r="Q118" s="113">
        <v>6.5393518518518552E-3</v>
      </c>
      <c r="R118" s="113">
        <v>5.9143518518518512E-3</v>
      </c>
      <c r="S118" s="113">
        <v>5.2546296296296265E-3</v>
      </c>
      <c r="T118" s="113">
        <v>5.3472222222222254E-3</v>
      </c>
      <c r="U118" s="113">
        <v>6.7824074074074106E-3</v>
      </c>
      <c r="V118" s="113">
        <v>5.0347222222222217E-3</v>
      </c>
      <c r="W118" s="113">
        <v>6.2962962962962964E-3</v>
      </c>
      <c r="X118" s="113">
        <v>6.1689814814814802E-3</v>
      </c>
      <c r="Y118" s="113">
        <v>6.2500000000000021E-3</v>
      </c>
      <c r="Z118" s="113">
        <v>0</v>
      </c>
    </row>
    <row r="119" spans="3:26" x14ac:dyDescent="0.15">
      <c r="C119" s="112" t="s">
        <v>67</v>
      </c>
      <c r="D119" s="113">
        <v>6.4351851851851827E-3</v>
      </c>
      <c r="E119" s="113">
        <v>6.5625000000000024E-3</v>
      </c>
      <c r="F119" s="113">
        <v>7.6041666666666688E-3</v>
      </c>
      <c r="G119" s="113">
        <v>6.4699074074074069E-3</v>
      </c>
      <c r="H119" s="113">
        <v>6.0648148148148145E-3</v>
      </c>
      <c r="I119" s="113">
        <v>6.2152777777777814E-3</v>
      </c>
      <c r="J119" s="113">
        <v>6.15740740740741E-3</v>
      </c>
      <c r="K119" s="113">
        <v>7.0601851851851832E-3</v>
      </c>
      <c r="L119" s="113">
        <v>7.4421296296296284E-3</v>
      </c>
      <c r="M119" s="113">
        <v>5.8680555555555534E-3</v>
      </c>
      <c r="N119" s="113">
        <v>6.92129629629629E-3</v>
      </c>
      <c r="O119" s="113">
        <v>8.42592592592592E-3</v>
      </c>
      <c r="P119" s="113">
        <v>9.7222222222222224E-3</v>
      </c>
      <c r="Q119" s="113">
        <v>7.9398148148148093E-3</v>
      </c>
      <c r="R119" s="113">
        <v>6.8402777777777819E-3</v>
      </c>
      <c r="S119" s="113">
        <v>7.3842592592592571E-3</v>
      </c>
      <c r="T119" s="113">
        <v>6.2615740740740687E-3</v>
      </c>
      <c r="U119" s="113">
        <v>8.3101851851851774E-3</v>
      </c>
      <c r="V119" s="113">
        <v>6.5393518518518517E-3</v>
      </c>
      <c r="W119" s="113">
        <v>9.1898148148148173E-3</v>
      </c>
      <c r="X119" s="113">
        <v>7.013888888888889E-3</v>
      </c>
      <c r="Y119" s="113">
        <v>7.546296296296294E-3</v>
      </c>
      <c r="Z119" s="113">
        <v>0</v>
      </c>
    </row>
    <row r="120" spans="3:26" x14ac:dyDescent="0.15">
      <c r="C120" s="112" t="s">
        <v>68</v>
      </c>
      <c r="D120" s="113">
        <v>6.4699074074074103E-3</v>
      </c>
      <c r="E120" s="113">
        <v>6.134259259259256E-3</v>
      </c>
      <c r="F120" s="113">
        <v>6.3425925925925872E-3</v>
      </c>
      <c r="G120" s="113">
        <v>6.3888888888888884E-3</v>
      </c>
      <c r="H120" s="113">
        <v>6.238425925925925E-3</v>
      </c>
      <c r="I120" s="113">
        <v>6.4699074074074103E-3</v>
      </c>
      <c r="J120" s="113">
        <v>6.4236111111111091E-3</v>
      </c>
      <c r="K120" s="113">
        <v>6.5393518518518517E-3</v>
      </c>
      <c r="L120" s="113">
        <v>6.8634259259259603E-3</v>
      </c>
      <c r="M120" s="113">
        <v>6.0648148148148145E-3</v>
      </c>
      <c r="N120" s="113">
        <v>6.1689814814814767E-3</v>
      </c>
      <c r="O120" s="113">
        <v>8.5300925925926308E-3</v>
      </c>
      <c r="P120" s="113">
        <v>6.9212962962963281E-3</v>
      </c>
      <c r="Q120" s="113">
        <v>6.5625000000000336E-3</v>
      </c>
      <c r="R120" s="113">
        <v>6.7708333333333301E-3</v>
      </c>
      <c r="S120" s="113">
        <v>6.8981481481481463E-3</v>
      </c>
      <c r="T120" s="113">
        <v>6.3888888888888953E-3</v>
      </c>
      <c r="U120" s="113">
        <v>6.6666666666667096E-3</v>
      </c>
      <c r="V120" s="113">
        <v>6.3310185185185205E-3</v>
      </c>
      <c r="W120" s="113">
        <v>6.9444444444444822E-3</v>
      </c>
      <c r="X120" s="113">
        <v>6.8055555555555924E-3</v>
      </c>
      <c r="Y120" s="113">
        <v>6.9907407407407765E-3</v>
      </c>
      <c r="Z120" s="113">
        <v>0</v>
      </c>
    </row>
    <row r="122" spans="3:26" x14ac:dyDescent="0.15">
      <c r="C122" s="112" t="s">
        <v>99</v>
      </c>
      <c r="D122" s="116">
        <v>23</v>
      </c>
      <c r="E122" s="116">
        <v>22</v>
      </c>
      <c r="F122" s="116">
        <v>21</v>
      </c>
      <c r="G122" s="116">
        <v>20</v>
      </c>
      <c r="H122" s="116">
        <v>19</v>
      </c>
      <c r="I122" s="116">
        <v>18</v>
      </c>
      <c r="J122" s="116">
        <v>17</v>
      </c>
      <c r="K122" s="116">
        <v>16</v>
      </c>
      <c r="L122" s="116">
        <v>15</v>
      </c>
      <c r="M122" s="116">
        <v>14</v>
      </c>
      <c r="N122" s="116">
        <v>13</v>
      </c>
      <c r="O122" s="116">
        <v>12</v>
      </c>
      <c r="P122" s="116">
        <v>11</v>
      </c>
      <c r="Q122" s="116">
        <v>10</v>
      </c>
      <c r="R122" s="116">
        <v>9</v>
      </c>
      <c r="S122" s="116">
        <v>8</v>
      </c>
      <c r="T122" s="116">
        <v>7</v>
      </c>
      <c r="U122" s="116">
        <v>6</v>
      </c>
      <c r="V122" s="116">
        <v>5</v>
      </c>
      <c r="W122" s="116">
        <v>4</v>
      </c>
      <c r="X122" s="116">
        <v>3</v>
      </c>
      <c r="Y122" s="116">
        <v>2</v>
      </c>
      <c r="Z122" s="116">
        <v>1</v>
      </c>
    </row>
    <row r="123" spans="3:26" x14ac:dyDescent="0.15">
      <c r="C123" s="117" t="s">
        <v>100</v>
      </c>
      <c r="D123" s="118">
        <v>0</v>
      </c>
      <c r="E123" s="118" t="s">
        <v>31</v>
      </c>
      <c r="F123" s="118" t="s">
        <v>29</v>
      </c>
      <c r="G123" s="118" t="s">
        <v>28</v>
      </c>
      <c r="H123" s="118" t="s">
        <v>23</v>
      </c>
      <c r="I123" s="118" t="s">
        <v>26</v>
      </c>
      <c r="J123" s="118" t="s">
        <v>25</v>
      </c>
      <c r="K123" s="118" t="s">
        <v>14</v>
      </c>
      <c r="L123" s="118" t="s">
        <v>22</v>
      </c>
      <c r="M123" s="118" t="s">
        <v>30</v>
      </c>
      <c r="N123" s="118" t="s">
        <v>21</v>
      </c>
      <c r="O123" s="118" t="s">
        <v>24</v>
      </c>
      <c r="P123" s="118" t="s">
        <v>15</v>
      </c>
      <c r="Q123" s="118" t="s">
        <v>11</v>
      </c>
      <c r="R123" s="118" t="s">
        <v>13</v>
      </c>
      <c r="S123" s="118" t="s">
        <v>16</v>
      </c>
      <c r="T123" s="118" t="s">
        <v>19</v>
      </c>
      <c r="U123" s="118" t="s">
        <v>32</v>
      </c>
      <c r="V123" s="118" t="s">
        <v>17</v>
      </c>
      <c r="W123" s="118" t="s">
        <v>18</v>
      </c>
      <c r="X123" s="118" t="s">
        <v>20</v>
      </c>
      <c r="Y123" s="118" t="s">
        <v>12</v>
      </c>
      <c r="Z123" s="118" t="s">
        <v>10</v>
      </c>
    </row>
    <row r="124" spans="3:26" x14ac:dyDescent="0.15">
      <c r="C124" s="117" t="s">
        <v>101</v>
      </c>
      <c r="D124" s="119">
        <v>0</v>
      </c>
      <c r="E124" s="119">
        <v>8.8888888888888889E-3</v>
      </c>
      <c r="F124" s="119">
        <v>8.113425925925925E-3</v>
      </c>
      <c r="G124" s="119">
        <v>8.8657407407407417E-3</v>
      </c>
      <c r="H124" s="119">
        <v>8.2060185185185187E-3</v>
      </c>
      <c r="I124" s="119">
        <v>7.5462962962962966E-3</v>
      </c>
      <c r="J124" s="119">
        <v>8.1712962962962963E-3</v>
      </c>
      <c r="K124" s="119">
        <v>7.3263888888888892E-3</v>
      </c>
      <c r="L124" s="119">
        <v>6.9444444444444441E-3</v>
      </c>
      <c r="M124" s="119">
        <v>7.6620370370370366E-3</v>
      </c>
      <c r="N124" s="119">
        <v>6.9560185185185185E-3</v>
      </c>
      <c r="O124" s="119">
        <v>6.9907407407407409E-3</v>
      </c>
      <c r="P124" s="119">
        <v>7.3842592592592597E-3</v>
      </c>
      <c r="Q124" s="119">
        <v>7.037037037037037E-3</v>
      </c>
      <c r="R124" s="119">
        <v>6.851851851851852E-3</v>
      </c>
      <c r="S124" s="119">
        <v>6.7939814814814816E-3</v>
      </c>
      <c r="T124" s="119">
        <v>6.4004629629629628E-3</v>
      </c>
      <c r="U124" s="119">
        <v>6.6550925925925935E-3</v>
      </c>
      <c r="V124" s="119">
        <v>6.5509259259259262E-3</v>
      </c>
      <c r="W124" s="119">
        <v>6.1574074074074074E-3</v>
      </c>
      <c r="X124" s="119">
        <v>6.076388888888889E-3</v>
      </c>
      <c r="Y124" s="119">
        <v>6.5162037037037037E-3</v>
      </c>
      <c r="Z124" s="119">
        <v>5.7407407407407416E-3</v>
      </c>
    </row>
    <row r="125" spans="3:26" x14ac:dyDescent="0.15">
      <c r="C125" s="117" t="s">
        <v>102</v>
      </c>
      <c r="D125" s="119">
        <v>0</v>
      </c>
      <c r="E125" s="119">
        <v>9.4212962962962974E-3</v>
      </c>
      <c r="F125" s="119">
        <v>9.4097222222222238E-3</v>
      </c>
      <c r="G125" s="119">
        <v>8.6574074074074071E-3</v>
      </c>
      <c r="H125" s="119">
        <v>7.6041666666666653E-3</v>
      </c>
      <c r="I125" s="119">
        <v>7.6504629629629622E-3</v>
      </c>
      <c r="J125" s="119">
        <v>7.673611111111112E-3</v>
      </c>
      <c r="K125" s="119">
        <v>6.7824074074074054E-3</v>
      </c>
      <c r="L125" s="119">
        <v>7.1064814814814827E-3</v>
      </c>
      <c r="M125" s="119">
        <v>6.9560185185185194E-3</v>
      </c>
      <c r="N125" s="119">
        <v>7.0138888888888898E-3</v>
      </c>
      <c r="O125" s="119">
        <v>6.8402777777777793E-3</v>
      </c>
      <c r="P125" s="119">
        <v>6.0416666666666648E-3</v>
      </c>
      <c r="Q125" s="119">
        <v>6.6782407407407407E-3</v>
      </c>
      <c r="R125" s="119">
        <v>6.2847222222222245E-3</v>
      </c>
      <c r="S125" s="119">
        <v>6.5509259259259262E-3</v>
      </c>
      <c r="T125" s="119">
        <v>6.9675925925925938E-3</v>
      </c>
      <c r="U125" s="119">
        <v>6.4583333333333324E-3</v>
      </c>
      <c r="V125" s="119">
        <v>6.4930555555555566E-3</v>
      </c>
      <c r="W125" s="119">
        <v>6.6666666666666654E-3</v>
      </c>
      <c r="X125" s="119">
        <v>6.3657407407407404E-3</v>
      </c>
      <c r="Y125" s="119">
        <v>6.4467592592592588E-3</v>
      </c>
      <c r="Z125" s="119">
        <v>6.3888888888888875E-3</v>
      </c>
    </row>
    <row r="126" spans="3:26" x14ac:dyDescent="0.15">
      <c r="C126" s="117" t="s">
        <v>64</v>
      </c>
      <c r="D126" s="119">
        <v>0</v>
      </c>
      <c r="E126" s="119">
        <v>6.2268518518518515E-3</v>
      </c>
      <c r="F126" s="119">
        <v>5.9143518518518512E-3</v>
      </c>
      <c r="G126" s="119">
        <v>5.7870370370370385E-3</v>
      </c>
      <c r="H126" s="119">
        <v>5.8217592592592592E-3</v>
      </c>
      <c r="I126" s="119">
        <v>5.6828703703703676E-3</v>
      </c>
      <c r="J126" s="119">
        <v>5.6134259259259245E-3</v>
      </c>
      <c r="K126" s="119">
        <v>4.9884259259259257E-3</v>
      </c>
      <c r="L126" s="119">
        <v>6.2500000000000003E-3</v>
      </c>
      <c r="M126" s="119">
        <v>5.3009259259259259E-3</v>
      </c>
      <c r="N126" s="119">
        <v>5.6134259259259228E-3</v>
      </c>
      <c r="O126" s="119">
        <v>5.0462962962962953E-3</v>
      </c>
      <c r="P126" s="119">
        <v>4.9768518518518538E-3</v>
      </c>
      <c r="Q126" s="119">
        <v>4.9652777777777768E-3</v>
      </c>
      <c r="R126" s="119">
        <v>4.7106481481481461E-3</v>
      </c>
      <c r="S126" s="119">
        <v>4.9189814814814808E-3</v>
      </c>
      <c r="T126" s="119">
        <v>4.5138888888888867E-3</v>
      </c>
      <c r="U126" s="119">
        <v>5.138888888888889E-3</v>
      </c>
      <c r="V126" s="119">
        <v>4.6759259259259237E-3</v>
      </c>
      <c r="W126" s="119">
        <v>4.5138888888888885E-3</v>
      </c>
      <c r="X126" s="119">
        <v>4.6180555555555558E-3</v>
      </c>
      <c r="Y126" s="119">
        <v>4.2476851851851859E-3</v>
      </c>
      <c r="Z126" s="119">
        <v>4.3171296296296326E-3</v>
      </c>
    </row>
    <row r="127" spans="3:26" x14ac:dyDescent="0.15">
      <c r="C127" s="117" t="s">
        <v>65</v>
      </c>
      <c r="D127" s="119">
        <v>0</v>
      </c>
      <c r="E127" s="119">
        <v>6.2615740740740722E-3</v>
      </c>
      <c r="F127" s="119">
        <v>6.0648148148148145E-3</v>
      </c>
      <c r="G127" s="119">
        <v>6.1574074074074031E-3</v>
      </c>
      <c r="H127" s="119">
        <v>6.5740740740740759E-3</v>
      </c>
      <c r="I127" s="119">
        <v>5.4166666666666669E-3</v>
      </c>
      <c r="J127" s="119">
        <v>5.5902777777777773E-3</v>
      </c>
      <c r="K127" s="119">
        <v>5.7407407407407442E-3</v>
      </c>
      <c r="L127" s="119">
        <v>5.1157407407407401E-3</v>
      </c>
      <c r="M127" s="119">
        <v>5.5787037037037072E-3</v>
      </c>
      <c r="N127" s="119">
        <v>5.5324074074074095E-3</v>
      </c>
      <c r="O127" s="119">
        <v>5.4050925925925933E-3</v>
      </c>
      <c r="P127" s="119">
        <v>4.9305555555555561E-3</v>
      </c>
      <c r="Q127" s="119">
        <v>5.1388888888888908E-3</v>
      </c>
      <c r="R127" s="119">
        <v>4.733796296296295E-3</v>
      </c>
      <c r="S127" s="119">
        <v>4.7222222222222214E-3</v>
      </c>
      <c r="T127" s="119">
        <v>4.9074074074074089E-3</v>
      </c>
      <c r="U127" s="119">
        <v>4.7222222222222249E-3</v>
      </c>
      <c r="V127" s="119">
        <v>4.9189814814814825E-3</v>
      </c>
      <c r="W127" s="119">
        <v>4.9884259259259239E-3</v>
      </c>
      <c r="X127" s="119">
        <v>5.185185185185185E-3</v>
      </c>
      <c r="Y127" s="119">
        <v>4.6064814814814822E-3</v>
      </c>
      <c r="Z127" s="119">
        <v>4.907407407407402E-3</v>
      </c>
    </row>
    <row r="128" spans="3:26" x14ac:dyDescent="0.15">
      <c r="C128" s="117" t="s">
        <v>66</v>
      </c>
      <c r="D128" s="119">
        <v>0</v>
      </c>
      <c r="E128" s="119">
        <v>7.9398148148148162E-3</v>
      </c>
      <c r="F128" s="119">
        <v>7.0949074074074109E-3</v>
      </c>
      <c r="G128" s="119">
        <v>6.2500000000000021E-3</v>
      </c>
      <c r="H128" s="119">
        <v>6.7824074074074106E-3</v>
      </c>
      <c r="I128" s="119">
        <v>6.2962962962962964E-3</v>
      </c>
      <c r="J128" s="119">
        <v>6.5393518518518552E-3</v>
      </c>
      <c r="K128" s="119">
        <v>6.3194444444444435E-3</v>
      </c>
      <c r="L128" s="119">
        <v>6.1689814814814802E-3</v>
      </c>
      <c r="M128" s="119">
        <v>5.2546296296296265E-3</v>
      </c>
      <c r="N128" s="119">
        <v>5.8333333333333362E-3</v>
      </c>
      <c r="O128" s="119">
        <v>5.9143518518518512E-3</v>
      </c>
      <c r="P128" s="119">
        <v>5.8449074074074063E-3</v>
      </c>
      <c r="Q128" s="119">
        <v>5.6134259259259245E-3</v>
      </c>
      <c r="R128" s="119">
        <v>5.3009259259259277E-3</v>
      </c>
      <c r="S128" s="119">
        <v>5.6018518518518544E-3</v>
      </c>
      <c r="T128" s="119">
        <v>5.439814814814814E-3</v>
      </c>
      <c r="U128" s="119">
        <v>5.0347222222222217E-3</v>
      </c>
      <c r="V128" s="119">
        <v>5.3587962962962955E-3</v>
      </c>
      <c r="W128" s="119">
        <v>5.6250000000000015E-3</v>
      </c>
      <c r="X128" s="119">
        <v>5.3472222222222254E-3</v>
      </c>
      <c r="Y128" s="119">
        <v>5.1157407407407401E-3</v>
      </c>
      <c r="Z128" s="119">
        <v>5.0231481481481516E-3</v>
      </c>
    </row>
    <row r="129" spans="3:26" x14ac:dyDescent="0.15">
      <c r="C129" s="117" t="s">
        <v>67</v>
      </c>
      <c r="D129" s="119">
        <v>0</v>
      </c>
      <c r="E129" s="119">
        <v>9.7222222222222224E-3</v>
      </c>
      <c r="F129" s="119">
        <v>8.42592592592592E-3</v>
      </c>
      <c r="G129" s="119">
        <v>7.546296296296294E-3</v>
      </c>
      <c r="H129" s="119">
        <v>8.3101851851851774E-3</v>
      </c>
      <c r="I129" s="119">
        <v>9.1898148148148173E-3</v>
      </c>
      <c r="J129" s="119">
        <v>7.9398148148148093E-3</v>
      </c>
      <c r="K129" s="119">
        <v>7.4421296296296284E-3</v>
      </c>
      <c r="L129" s="119">
        <v>7.013888888888889E-3</v>
      </c>
      <c r="M129" s="119">
        <v>7.3842592592592571E-3</v>
      </c>
      <c r="N129" s="119">
        <v>6.92129629629629E-3</v>
      </c>
      <c r="O129" s="119">
        <v>6.8402777777777819E-3</v>
      </c>
      <c r="P129" s="119">
        <v>7.0601851851851832E-3</v>
      </c>
      <c r="Q129" s="119">
        <v>6.5625000000000024E-3</v>
      </c>
      <c r="R129" s="119">
        <v>7.6041666666666688E-3</v>
      </c>
      <c r="S129" s="119">
        <v>6.4699074074074069E-3</v>
      </c>
      <c r="T129" s="119">
        <v>6.4351851851851827E-3</v>
      </c>
      <c r="U129" s="119">
        <v>6.5393518518518517E-3</v>
      </c>
      <c r="V129" s="119">
        <v>6.2152777777777814E-3</v>
      </c>
      <c r="W129" s="119">
        <v>6.15740740740741E-3</v>
      </c>
      <c r="X129" s="119">
        <v>6.2615740740740687E-3</v>
      </c>
      <c r="Y129" s="119">
        <v>6.0648148148148145E-3</v>
      </c>
      <c r="Z129" s="119">
        <v>5.8680555555555534E-3</v>
      </c>
    </row>
    <row r="130" spans="3:26" x14ac:dyDescent="0.15">
      <c r="C130" s="117" t="s">
        <v>68</v>
      </c>
      <c r="D130" s="119">
        <v>0</v>
      </c>
      <c r="E130" s="119">
        <v>6.9212962962963281E-3</v>
      </c>
      <c r="F130" s="119">
        <v>8.5300925925926308E-3</v>
      </c>
      <c r="G130" s="119">
        <v>6.9907407407407765E-3</v>
      </c>
      <c r="H130" s="119">
        <v>6.6666666666667096E-3</v>
      </c>
      <c r="I130" s="119">
        <v>6.9444444444444822E-3</v>
      </c>
      <c r="J130" s="119">
        <v>6.5625000000000336E-3</v>
      </c>
      <c r="K130" s="119">
        <v>6.8634259259259603E-3</v>
      </c>
      <c r="L130" s="119">
        <v>6.8055555555555924E-3</v>
      </c>
      <c r="M130" s="119">
        <v>6.8981481481481463E-3</v>
      </c>
      <c r="N130" s="119">
        <v>6.1689814814814767E-3</v>
      </c>
      <c r="O130" s="119">
        <v>6.7708333333333301E-3</v>
      </c>
      <c r="P130" s="119">
        <v>6.5393518518518517E-3</v>
      </c>
      <c r="Q130" s="119">
        <v>6.134259259259256E-3</v>
      </c>
      <c r="R130" s="119">
        <v>6.3425925925925872E-3</v>
      </c>
      <c r="S130" s="119">
        <v>6.3888888888888884E-3</v>
      </c>
      <c r="T130" s="119">
        <v>6.4699074074074103E-3</v>
      </c>
      <c r="U130" s="119">
        <v>6.3310185185185205E-3</v>
      </c>
      <c r="V130" s="119">
        <v>6.4699074074074103E-3</v>
      </c>
      <c r="W130" s="119">
        <v>6.4236111111111091E-3</v>
      </c>
      <c r="X130" s="119">
        <v>6.3888888888888953E-3</v>
      </c>
      <c r="Y130" s="119">
        <v>6.238425925925925E-3</v>
      </c>
      <c r="Z130" s="119">
        <v>6.0648148148148145E-3</v>
      </c>
    </row>
  </sheetData>
  <mergeCells count="7">
    <mergeCell ref="A70:C70"/>
    <mergeCell ref="A67:C67"/>
    <mergeCell ref="E1:Z1"/>
    <mergeCell ref="A2:C2"/>
    <mergeCell ref="B3:B11"/>
    <mergeCell ref="A65:C65"/>
    <mergeCell ref="A68:C68"/>
  </mergeCells>
  <phoneticPr fontId="2" type="noConversion"/>
  <conditionalFormatting sqref="B16 B25 B34 B43 B52 B61">
    <cfRule type="cellIs" dxfId="7" priority="2" stopIfTrue="1" operator="equal">
      <formula>"정상"</formula>
    </cfRule>
    <cfRule type="cellIs" dxfId="6" priority="3" stopIfTrue="1" operator="equal">
      <formula>"동시"</formula>
    </cfRule>
  </conditionalFormatting>
  <conditionalFormatting sqref="D10:Z10">
    <cfRule type="cellIs" dxfId="5" priority="4" stopIfTrue="1" operator="equal">
      <formula>"제한"</formula>
    </cfRule>
  </conditionalFormatting>
  <conditionalFormatting sqref="D7:Z7 D9:Z10 D14:Z16 D18:Z19 D23:Z25 D27:Z28 D32:Z34 D36:Z37 D41:Z43 D45:Z46 D50:Z52 D54:Z55 D59:Z61 D63:Z64">
    <cfRule type="expression" dxfId="4" priority="1">
      <formula>D7&lt;TIME(1,0,0)</formula>
    </cfRule>
  </conditionalFormatting>
  <pageMargins left="0.75" right="0.75" top="1" bottom="1" header="0.5" footer="0.5"/>
  <pageSetup paperSize="9" scale="7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도교육청초등복사">
                <anchor moveWithCells="1" sizeWithCells="1">
                  <from>
                    <xdr:col>27</xdr:col>
                    <xdr:colOff>190500</xdr:colOff>
                    <xdr:row>0</xdr:row>
                    <xdr:rowOff>0</xdr:rowOff>
                  </from>
                  <to>
                    <xdr:col>27</xdr:col>
                    <xdr:colOff>676275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5" name="Check Box 12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6" name="Check Box 1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7" name="Check Box 14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8" name="Check Box 15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9" name="Check Box 16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0" name="Check Box 17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63</xdr:row>
                    <xdr:rowOff>9525</xdr:rowOff>
                  </from>
                  <to>
                    <xdr:col>1</xdr:col>
                    <xdr:colOff>428625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1" name="Check Box 18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2" name="Check Box 19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3" name="Check Box 20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4" name="Check Box 21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5" name="Check Box 22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6" name="Check Box 2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63</xdr:row>
                    <xdr:rowOff>9525</xdr:rowOff>
                  </from>
                  <to>
                    <xdr:col>1</xdr:col>
                    <xdr:colOff>428625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7" name="Check Box 140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8" name="Check Box 141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9" name="Check Box 142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20" name="Check Box 14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21" name="Check Box 144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22" name="Check Box 145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63</xdr:row>
                    <xdr:rowOff>9525</xdr:rowOff>
                  </from>
                  <to>
                    <xdr:col>1</xdr:col>
                    <xdr:colOff>428625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23" name="Check Box 146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24" name="Check Box 147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25" name="Check Box 148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26" name="Check Box 149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27" name="Check Box 150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28" name="Check Box 151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63</xdr:row>
                    <xdr:rowOff>9525</xdr:rowOff>
                  </from>
                  <to>
                    <xdr:col>1</xdr:col>
                    <xdr:colOff>428625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29" name="Check Box 152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2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30" name="Check Box 15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2</xdr:col>
                    <xdr:colOff>0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31" name="Check Box 154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2</xdr:col>
                    <xdr:colOff>0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32" name="Check Box 155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2</xdr:col>
                    <xdr:colOff>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33" name="Check Box 156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2</xdr:col>
                    <xdr:colOff>0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34" name="Check Box 157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63</xdr:row>
                    <xdr:rowOff>9525</xdr:rowOff>
                  </from>
                  <to>
                    <xdr:col>2</xdr:col>
                    <xdr:colOff>0</xdr:colOff>
                    <xdr:row>64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Z130"/>
  <sheetViews>
    <sheetView showZeros="0" tabSelected="1" zoomScaleNormal="100" workbookViewId="0">
      <selection activeCell="J11" sqref="J11"/>
    </sheetView>
  </sheetViews>
  <sheetFormatPr defaultColWidth="8.88671875" defaultRowHeight="13.5" x14ac:dyDescent="0.15"/>
  <cols>
    <col min="1" max="1" width="6.21875" style="103" customWidth="1"/>
    <col min="2" max="2" width="5.33203125" style="103" customWidth="1"/>
    <col min="3" max="3" width="9.88671875" style="103" customWidth="1"/>
    <col min="4" max="25" width="6" style="103" customWidth="1"/>
    <col min="26" max="26" width="6.6640625" style="103" customWidth="1"/>
    <col min="27" max="27" width="5.77734375" style="103" customWidth="1"/>
    <col min="28" max="16384" width="8.88671875" style="103"/>
  </cols>
  <sheetData>
    <row r="1" spans="1:26" ht="26.25" customHeight="1" x14ac:dyDescent="0.25">
      <c r="A1" s="29" t="s">
        <v>1</v>
      </c>
      <c r="B1" s="30"/>
      <c r="C1" s="102">
        <v>15.3</v>
      </c>
      <c r="D1" s="143">
        <v>100</v>
      </c>
      <c r="E1" s="175" t="s">
        <v>133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6"/>
    </row>
    <row r="2" spans="1:26" ht="20.25" customHeight="1" x14ac:dyDescent="0.15">
      <c r="A2" s="177" t="s">
        <v>132</v>
      </c>
      <c r="B2" s="178"/>
      <c r="C2" s="179"/>
      <c r="D2" s="114" t="s">
        <v>19</v>
      </c>
      <c r="E2" s="114" t="s">
        <v>11</v>
      </c>
      <c r="F2" s="114" t="s">
        <v>13</v>
      </c>
      <c r="G2" s="114" t="s">
        <v>16</v>
      </c>
      <c r="H2" s="114" t="s">
        <v>12</v>
      </c>
      <c r="I2" s="114" t="s">
        <v>17</v>
      </c>
      <c r="J2" s="114" t="s">
        <v>18</v>
      </c>
      <c r="K2" s="114" t="s">
        <v>15</v>
      </c>
      <c r="L2" s="114" t="s">
        <v>14</v>
      </c>
      <c r="M2" s="114" t="s">
        <v>10</v>
      </c>
      <c r="N2" s="114" t="s">
        <v>21</v>
      </c>
      <c r="O2" s="114" t="s">
        <v>29</v>
      </c>
      <c r="P2" s="114" t="s">
        <v>31</v>
      </c>
      <c r="Q2" s="114" t="s">
        <v>25</v>
      </c>
      <c r="R2" s="114" t="s">
        <v>24</v>
      </c>
      <c r="S2" s="114" t="s">
        <v>30</v>
      </c>
      <c r="T2" s="114" t="s">
        <v>20</v>
      </c>
      <c r="U2" s="114" t="s">
        <v>23</v>
      </c>
      <c r="V2" s="114" t="s">
        <v>32</v>
      </c>
      <c r="W2" s="114" t="s">
        <v>26</v>
      </c>
      <c r="X2" s="114" t="s">
        <v>22</v>
      </c>
      <c r="Y2" s="114" t="s">
        <v>28</v>
      </c>
      <c r="Z2" s="115" t="s">
        <v>27</v>
      </c>
    </row>
    <row r="3" spans="1:26" ht="15" customHeight="1" x14ac:dyDescent="0.15">
      <c r="A3" s="104"/>
      <c r="B3" s="180" t="s">
        <v>134</v>
      </c>
      <c r="C3" s="31" t="s">
        <v>135</v>
      </c>
      <c r="D3" s="32" t="s">
        <v>136</v>
      </c>
      <c r="E3" s="32" t="s">
        <v>137</v>
      </c>
      <c r="F3" s="32" t="s">
        <v>138</v>
      </c>
      <c r="G3" s="32" t="s">
        <v>139</v>
      </c>
      <c r="H3" s="32" t="s">
        <v>140</v>
      </c>
      <c r="I3" s="32" t="s">
        <v>141</v>
      </c>
      <c r="J3" s="32" t="s">
        <v>142</v>
      </c>
      <c r="K3" s="32" t="s">
        <v>143</v>
      </c>
      <c r="L3" s="32" t="s">
        <v>144</v>
      </c>
      <c r="M3" s="32" t="s">
        <v>145</v>
      </c>
      <c r="N3" s="32">
        <v>0</v>
      </c>
      <c r="O3" s="32" t="s">
        <v>146</v>
      </c>
      <c r="P3" s="32" t="s">
        <v>147</v>
      </c>
      <c r="Q3" s="32" t="s">
        <v>148</v>
      </c>
      <c r="R3" s="32" t="s">
        <v>149</v>
      </c>
      <c r="S3" s="32" t="s">
        <v>150</v>
      </c>
      <c r="T3" s="32" t="s">
        <v>151</v>
      </c>
      <c r="U3" s="32" t="s">
        <v>152</v>
      </c>
      <c r="V3" s="32" t="s">
        <v>153</v>
      </c>
      <c r="W3" s="32" t="s">
        <v>154</v>
      </c>
      <c r="X3" s="32" t="s">
        <v>155</v>
      </c>
      <c r="Y3" s="32" t="s">
        <v>156</v>
      </c>
      <c r="Z3" s="33">
        <v>0</v>
      </c>
    </row>
    <row r="4" spans="1:26" ht="14.25" customHeight="1" x14ac:dyDescent="0.15">
      <c r="A4" s="34" t="s">
        <v>70</v>
      </c>
      <c r="B4" s="181"/>
      <c r="C4" s="35" t="s">
        <v>157</v>
      </c>
      <c r="D4" s="36" t="s">
        <v>483</v>
      </c>
      <c r="E4" s="36" t="s">
        <v>484</v>
      </c>
      <c r="F4" s="36" t="s">
        <v>485</v>
      </c>
      <c r="G4" s="36" t="s">
        <v>486</v>
      </c>
      <c r="H4" s="36" t="s">
        <v>487</v>
      </c>
      <c r="I4" s="36" t="s">
        <v>488</v>
      </c>
      <c r="J4" s="36" t="s">
        <v>489</v>
      </c>
      <c r="K4" s="36" t="s">
        <v>490</v>
      </c>
      <c r="L4" s="36" t="s">
        <v>491</v>
      </c>
      <c r="M4" s="36" t="s">
        <v>492</v>
      </c>
      <c r="N4" s="36">
        <v>0</v>
      </c>
      <c r="O4" s="36" t="s">
        <v>493</v>
      </c>
      <c r="P4" s="36" t="s">
        <v>494</v>
      </c>
      <c r="Q4" s="36" t="s">
        <v>495</v>
      </c>
      <c r="R4" s="36" t="s">
        <v>496</v>
      </c>
      <c r="S4" s="36" t="s">
        <v>497</v>
      </c>
      <c r="T4" s="36" t="s">
        <v>498</v>
      </c>
      <c r="U4" s="36" t="s">
        <v>499</v>
      </c>
      <c r="V4" s="36" t="s">
        <v>500</v>
      </c>
      <c r="W4" s="36" t="s">
        <v>501</v>
      </c>
      <c r="X4" s="36" t="s">
        <v>502</v>
      </c>
      <c r="Y4" s="36" t="s">
        <v>503</v>
      </c>
      <c r="Z4" s="37">
        <v>0</v>
      </c>
    </row>
    <row r="5" spans="1:26" ht="0.75" hidden="1" customHeight="1" x14ac:dyDescent="0.15">
      <c r="A5" s="34"/>
      <c r="B5" s="181"/>
      <c r="C5" s="38"/>
      <c r="D5" s="39" t="b">
        <v>0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</row>
    <row r="6" spans="1:26" ht="15" hidden="1" customHeight="1" x14ac:dyDescent="0.15">
      <c r="A6" s="34"/>
      <c r="B6" s="181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0"/>
    </row>
    <row r="7" spans="1:26" ht="15" customHeight="1" x14ac:dyDescent="0.15">
      <c r="A7" s="75">
        <v>2.4</v>
      </c>
      <c r="B7" s="181"/>
      <c r="C7" s="41" t="s">
        <v>158</v>
      </c>
      <c r="D7" s="144">
        <v>8.1249999999999985E-3</v>
      </c>
      <c r="E7" s="42">
        <v>6.5277777777777782E-3</v>
      </c>
      <c r="F7" s="42">
        <v>7.4189814814814813E-3</v>
      </c>
      <c r="G7" s="42">
        <v>6.5972222222222222E-3</v>
      </c>
      <c r="H7" s="42">
        <v>7.9861111111111122E-3</v>
      </c>
      <c r="I7" s="42">
        <v>8.3217592592592596E-3</v>
      </c>
      <c r="J7" s="42">
        <v>5.9953703703703697E-3</v>
      </c>
      <c r="K7" s="42">
        <v>7.2453703703703708E-3</v>
      </c>
      <c r="L7" s="42">
        <v>7.6157407407407415E-3</v>
      </c>
      <c r="M7" s="42">
        <v>7.1180555555555554E-3</v>
      </c>
      <c r="N7" s="42">
        <v>0</v>
      </c>
      <c r="O7" s="42">
        <v>8.8078703703703704E-3</v>
      </c>
      <c r="P7" s="42">
        <v>8.4722222222222213E-3</v>
      </c>
      <c r="Q7" s="42">
        <v>9.3287037037037036E-3</v>
      </c>
      <c r="R7" s="42">
        <v>1.0173611111111111E-2</v>
      </c>
      <c r="S7" s="42">
        <v>8.7615740740740744E-3</v>
      </c>
      <c r="T7" s="42">
        <v>9.9537037037037042E-3</v>
      </c>
      <c r="U7" s="42">
        <v>9.3171296296296283E-3</v>
      </c>
      <c r="V7" s="42">
        <v>7.9166666666666673E-3</v>
      </c>
      <c r="W7" s="42">
        <v>8.6574074074074071E-3</v>
      </c>
      <c r="X7" s="42">
        <v>7.8472222222222224E-3</v>
      </c>
      <c r="Y7" s="42">
        <v>9.6412037037037039E-3</v>
      </c>
      <c r="Z7" s="43">
        <v>0</v>
      </c>
    </row>
    <row r="8" spans="1:26" ht="15" customHeight="1" x14ac:dyDescent="0.15">
      <c r="A8" s="44">
        <v>15.686274509803921</v>
      </c>
      <c r="B8" s="181"/>
      <c r="C8" s="41" t="s">
        <v>159</v>
      </c>
      <c r="D8" s="121" t="s">
        <v>51</v>
      </c>
      <c r="E8" s="121" t="s">
        <v>42</v>
      </c>
      <c r="F8" s="121" t="s">
        <v>44</v>
      </c>
      <c r="G8" s="121" t="s">
        <v>43</v>
      </c>
      <c r="H8" s="121" t="s">
        <v>50</v>
      </c>
      <c r="I8" s="121" t="s">
        <v>53</v>
      </c>
      <c r="J8" s="121" t="s">
        <v>41</v>
      </c>
      <c r="K8" s="121" t="s">
        <v>47</v>
      </c>
      <c r="L8" s="121" t="s">
        <v>48</v>
      </c>
      <c r="M8" s="121" t="s">
        <v>45</v>
      </c>
      <c r="N8" s="121" t="s">
        <v>63</v>
      </c>
      <c r="O8" s="121" t="s">
        <v>56</v>
      </c>
      <c r="P8" s="121" t="s">
        <v>54</v>
      </c>
      <c r="Q8" s="121" t="s">
        <v>61</v>
      </c>
      <c r="R8" s="121" t="s">
        <v>62</v>
      </c>
      <c r="S8" s="121" t="s">
        <v>57</v>
      </c>
      <c r="T8" s="121" t="s">
        <v>60</v>
      </c>
      <c r="U8" s="121" t="s">
        <v>59</v>
      </c>
      <c r="V8" s="121" t="s">
        <v>46</v>
      </c>
      <c r="W8" s="121" t="s">
        <v>49</v>
      </c>
      <c r="X8" s="121" t="s">
        <v>52</v>
      </c>
      <c r="Y8" s="121" t="s">
        <v>58</v>
      </c>
      <c r="Z8" s="122" t="s">
        <v>63</v>
      </c>
    </row>
    <row r="9" spans="1:26" ht="15" customHeight="1" x14ac:dyDescent="0.15">
      <c r="A9" s="34"/>
      <c r="B9" s="181"/>
      <c r="C9" s="47" t="s">
        <v>160</v>
      </c>
      <c r="D9" s="48">
        <v>8.1249999999999985E-3</v>
      </c>
      <c r="E9" s="48">
        <v>6.5277777777777782E-3</v>
      </c>
      <c r="F9" s="48">
        <v>7.4189814814814813E-3</v>
      </c>
      <c r="G9" s="48">
        <v>6.5972222222222222E-3</v>
      </c>
      <c r="H9" s="48">
        <v>7.9861111111111122E-3</v>
      </c>
      <c r="I9" s="48">
        <v>8.3217592592592596E-3</v>
      </c>
      <c r="J9" s="48">
        <v>5.9953703703703697E-3</v>
      </c>
      <c r="K9" s="48">
        <v>7.2453703703703708E-3</v>
      </c>
      <c r="L9" s="48">
        <v>7.6157407407407415E-3</v>
      </c>
      <c r="M9" s="48">
        <v>7.1180555555555554E-3</v>
      </c>
      <c r="N9" s="48">
        <v>0</v>
      </c>
      <c r="O9" s="48">
        <v>8.8078703703703704E-3</v>
      </c>
      <c r="P9" s="48">
        <v>8.4722222222222213E-3</v>
      </c>
      <c r="Q9" s="48">
        <v>9.3287037037037036E-3</v>
      </c>
      <c r="R9" s="48">
        <v>1.0173611111111111E-2</v>
      </c>
      <c r="S9" s="48">
        <v>8.7615740740740744E-3</v>
      </c>
      <c r="T9" s="48">
        <v>9.9537037037037042E-3</v>
      </c>
      <c r="U9" s="48">
        <v>9.3171296296296283E-3</v>
      </c>
      <c r="V9" s="48">
        <v>7.9166666666666673E-3</v>
      </c>
      <c r="W9" s="48">
        <v>8.6574074074074071E-3</v>
      </c>
      <c r="X9" s="48">
        <v>7.8472222222222224E-3</v>
      </c>
      <c r="Y9" s="48">
        <v>9.6412037037037039E-3</v>
      </c>
      <c r="Z9" s="49">
        <v>0</v>
      </c>
    </row>
    <row r="10" spans="1:26" ht="15" customHeight="1" x14ac:dyDescent="0.15">
      <c r="A10" s="34"/>
      <c r="B10" s="181"/>
      <c r="C10" s="41" t="s">
        <v>35</v>
      </c>
      <c r="D10" s="42">
        <v>8.1249999999999985E-3</v>
      </c>
      <c r="E10" s="42">
        <v>6.5277777777777782E-3</v>
      </c>
      <c r="F10" s="42">
        <v>7.4189814814814813E-3</v>
      </c>
      <c r="G10" s="42">
        <v>6.5972222222222222E-3</v>
      </c>
      <c r="H10" s="42">
        <v>7.9861111111111122E-3</v>
      </c>
      <c r="I10" s="42">
        <v>8.3217592592592596E-3</v>
      </c>
      <c r="J10" s="42">
        <v>5.9953703703703697E-3</v>
      </c>
      <c r="K10" s="42">
        <v>7.2453703703703708E-3</v>
      </c>
      <c r="L10" s="42">
        <v>7.6157407407407415E-3</v>
      </c>
      <c r="M10" s="42">
        <v>7.1180555555555554E-3</v>
      </c>
      <c r="N10" s="42" t="s">
        <v>63</v>
      </c>
      <c r="O10" s="42">
        <v>8.8078703703703704E-3</v>
      </c>
      <c r="P10" s="42">
        <v>8.4722222222222213E-3</v>
      </c>
      <c r="Q10" s="42">
        <v>9.3287037037037036E-3</v>
      </c>
      <c r="R10" s="42">
        <v>1.0173611111111111E-2</v>
      </c>
      <c r="S10" s="42">
        <v>8.7615740740740744E-3</v>
      </c>
      <c r="T10" s="42">
        <v>9.9537037037037042E-3</v>
      </c>
      <c r="U10" s="42">
        <v>9.3171296296296283E-3</v>
      </c>
      <c r="V10" s="42">
        <v>7.9166666666666673E-3</v>
      </c>
      <c r="W10" s="42">
        <v>8.6574074074074071E-3</v>
      </c>
      <c r="X10" s="42">
        <v>7.8472222222222224E-3</v>
      </c>
      <c r="Y10" s="42">
        <v>9.6412037037037039E-3</v>
      </c>
      <c r="Z10" s="43" t="s">
        <v>63</v>
      </c>
    </row>
    <row r="11" spans="1:26" ht="15" customHeight="1" x14ac:dyDescent="0.15">
      <c r="A11" s="50"/>
      <c r="B11" s="182"/>
      <c r="C11" s="51" t="s">
        <v>71</v>
      </c>
      <c r="D11" s="52">
        <v>11</v>
      </c>
      <c r="E11" s="52">
        <v>2</v>
      </c>
      <c r="F11" s="52">
        <v>6</v>
      </c>
      <c r="G11" s="52">
        <v>3</v>
      </c>
      <c r="H11" s="52">
        <v>10</v>
      </c>
      <c r="I11" s="52">
        <v>12</v>
      </c>
      <c r="J11" s="52">
        <v>1</v>
      </c>
      <c r="K11" s="52">
        <v>5</v>
      </c>
      <c r="L11" s="52">
        <v>7</v>
      </c>
      <c r="M11" s="52">
        <v>4</v>
      </c>
      <c r="N11" s="52" t="s">
        <v>63</v>
      </c>
      <c r="O11" s="52">
        <v>16</v>
      </c>
      <c r="P11" s="52">
        <v>13</v>
      </c>
      <c r="Q11" s="52">
        <v>18</v>
      </c>
      <c r="R11" s="52">
        <v>21</v>
      </c>
      <c r="S11" s="52">
        <v>15</v>
      </c>
      <c r="T11" s="52">
        <v>20</v>
      </c>
      <c r="U11" s="52">
        <v>17</v>
      </c>
      <c r="V11" s="52">
        <v>9</v>
      </c>
      <c r="W11" s="52">
        <v>14</v>
      </c>
      <c r="X11" s="52">
        <v>8</v>
      </c>
      <c r="Y11" s="52">
        <v>19</v>
      </c>
      <c r="Z11" s="53" t="s">
        <v>63</v>
      </c>
    </row>
    <row r="12" spans="1:26" ht="15" customHeight="1" x14ac:dyDescent="0.15">
      <c r="A12" s="54"/>
      <c r="B12" s="55"/>
      <c r="C12" s="31" t="s">
        <v>135</v>
      </c>
      <c r="D12" s="32" t="s">
        <v>161</v>
      </c>
      <c r="E12" s="32" t="s">
        <v>162</v>
      </c>
      <c r="F12" s="32" t="s">
        <v>163</v>
      </c>
      <c r="G12" s="32" t="s">
        <v>164</v>
      </c>
      <c r="H12" s="32" t="s">
        <v>165</v>
      </c>
      <c r="I12" s="32" t="s">
        <v>166</v>
      </c>
      <c r="J12" s="32" t="s">
        <v>167</v>
      </c>
      <c r="K12" s="32" t="s">
        <v>168</v>
      </c>
      <c r="L12" s="32" t="s">
        <v>169</v>
      </c>
      <c r="M12" s="32" t="s">
        <v>170</v>
      </c>
      <c r="N12" s="32">
        <v>0</v>
      </c>
      <c r="O12" s="32" t="s">
        <v>171</v>
      </c>
      <c r="P12" s="32" t="s">
        <v>172</v>
      </c>
      <c r="Q12" s="32" t="s">
        <v>173</v>
      </c>
      <c r="R12" s="32" t="s">
        <v>174</v>
      </c>
      <c r="S12" s="32" t="s">
        <v>175</v>
      </c>
      <c r="T12" s="32" t="s">
        <v>176</v>
      </c>
      <c r="U12" s="32" t="s">
        <v>177</v>
      </c>
      <c r="V12" s="32" t="s">
        <v>178</v>
      </c>
      <c r="W12" s="32" t="s">
        <v>179</v>
      </c>
      <c r="X12" s="32" t="s">
        <v>180</v>
      </c>
      <c r="Y12" s="32" t="s">
        <v>181</v>
      </c>
      <c r="Z12" s="33">
        <v>0</v>
      </c>
    </row>
    <row r="13" spans="1:26" ht="15" customHeight="1" x14ac:dyDescent="0.15">
      <c r="A13" s="34" t="s">
        <v>72</v>
      </c>
      <c r="B13" s="56"/>
      <c r="C13" s="35" t="s">
        <v>157</v>
      </c>
      <c r="D13" s="36" t="s">
        <v>504</v>
      </c>
      <c r="E13" s="36" t="s">
        <v>505</v>
      </c>
      <c r="F13" s="36" t="s">
        <v>506</v>
      </c>
      <c r="G13" s="36" t="s">
        <v>507</v>
      </c>
      <c r="H13" s="36" t="s">
        <v>508</v>
      </c>
      <c r="I13" s="36" t="s">
        <v>509</v>
      </c>
      <c r="J13" s="36" t="s">
        <v>510</v>
      </c>
      <c r="K13" s="36" t="s">
        <v>511</v>
      </c>
      <c r="L13" s="36" t="s">
        <v>512</v>
      </c>
      <c r="M13" s="36" t="s">
        <v>513</v>
      </c>
      <c r="N13" s="36">
        <v>0</v>
      </c>
      <c r="O13" s="36" t="s">
        <v>514</v>
      </c>
      <c r="P13" s="36" t="s">
        <v>515</v>
      </c>
      <c r="Q13" s="36" t="s">
        <v>516</v>
      </c>
      <c r="R13" s="36" t="s">
        <v>517</v>
      </c>
      <c r="S13" s="36" t="s">
        <v>518</v>
      </c>
      <c r="T13" s="36" t="s">
        <v>519</v>
      </c>
      <c r="U13" s="36" t="s">
        <v>520</v>
      </c>
      <c r="V13" s="36" t="s">
        <v>521</v>
      </c>
      <c r="W13" s="36" t="s">
        <v>522</v>
      </c>
      <c r="X13" s="36" t="s">
        <v>523</v>
      </c>
      <c r="Y13" s="36" t="s">
        <v>524</v>
      </c>
      <c r="Z13" s="37">
        <v>0</v>
      </c>
    </row>
    <row r="14" spans="1:26" ht="15" customHeight="1" thickBot="1" x14ac:dyDescent="0.2">
      <c r="A14" s="34"/>
      <c r="B14" s="56"/>
      <c r="C14" s="38" t="s">
        <v>184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0</v>
      </c>
      <c r="Z14" s="58">
        <v>0</v>
      </c>
    </row>
    <row r="15" spans="1:26" ht="13.5" hidden="1" customHeight="1" x14ac:dyDescent="0.15">
      <c r="A15" s="34"/>
      <c r="B15" s="56"/>
      <c r="C15" s="38" t="s">
        <v>185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40">
        <v>0</v>
      </c>
    </row>
    <row r="16" spans="1:26" ht="15" customHeight="1" thickBot="1" x14ac:dyDescent="0.2">
      <c r="A16" s="124">
        <v>2.9</v>
      </c>
      <c r="B16" s="76" t="s">
        <v>318</v>
      </c>
      <c r="C16" s="59" t="s">
        <v>186</v>
      </c>
      <c r="D16" s="42">
        <v>8.3564810000000007E-3</v>
      </c>
      <c r="E16" s="42">
        <v>6.724537E-3</v>
      </c>
      <c r="F16" s="42">
        <v>8.1944440000000004E-3</v>
      </c>
      <c r="G16" s="42">
        <v>7.3148149999999997E-3</v>
      </c>
      <c r="H16" s="42">
        <v>7.7199069999999998E-3</v>
      </c>
      <c r="I16" s="42">
        <v>7.025463E-3</v>
      </c>
      <c r="J16" s="42">
        <v>7.4537040000000002E-3</v>
      </c>
      <c r="K16" s="42">
        <v>7.5231480000000003E-3</v>
      </c>
      <c r="L16" s="42">
        <v>7.4189809999999998E-3</v>
      </c>
      <c r="M16" s="42">
        <v>6.3078700000000001E-3</v>
      </c>
      <c r="N16" s="42">
        <v>0</v>
      </c>
      <c r="O16" s="42">
        <v>7.3379630000000003E-3</v>
      </c>
      <c r="P16" s="42">
        <v>8.6458330000000003E-3</v>
      </c>
      <c r="Q16" s="42">
        <v>8.113426E-3</v>
      </c>
      <c r="R16" s="42">
        <v>8.483796E-3</v>
      </c>
      <c r="S16" s="42">
        <v>8.9120369999999994E-3</v>
      </c>
      <c r="T16" s="42">
        <v>8.7037039999999996E-3</v>
      </c>
      <c r="U16" s="42">
        <v>9.4212959999999991E-3</v>
      </c>
      <c r="V16" s="42">
        <v>7.5347219999999998E-3</v>
      </c>
      <c r="W16" s="42">
        <v>8.0324070000000001E-3</v>
      </c>
      <c r="X16" s="42">
        <v>8.8310190000000007E-3</v>
      </c>
      <c r="Y16" s="42">
        <v>9.0162039999999999E-3</v>
      </c>
      <c r="Z16" s="43">
        <v>0</v>
      </c>
    </row>
    <row r="17" spans="1:26" ht="15" customHeight="1" x14ac:dyDescent="0.15">
      <c r="A17" s="44">
        <v>18.954248366013072</v>
      </c>
      <c r="B17" s="77" t="b">
        <v>1</v>
      </c>
      <c r="C17" s="41" t="s">
        <v>187</v>
      </c>
      <c r="D17" s="121" t="s">
        <v>49</v>
      </c>
      <c r="E17" s="121" t="s">
        <v>42</v>
      </c>
      <c r="F17" s="121" t="s">
        <v>54</v>
      </c>
      <c r="G17" s="121" t="s">
        <v>45</v>
      </c>
      <c r="H17" s="121" t="s">
        <v>50</v>
      </c>
      <c r="I17" s="121" t="s">
        <v>43</v>
      </c>
      <c r="J17" s="121" t="s">
        <v>48</v>
      </c>
      <c r="K17" s="121" t="s">
        <v>52</v>
      </c>
      <c r="L17" s="121" t="s">
        <v>44</v>
      </c>
      <c r="M17" s="121" t="s">
        <v>41</v>
      </c>
      <c r="N17" s="121" t="s">
        <v>63</v>
      </c>
      <c r="O17" s="121" t="s">
        <v>47</v>
      </c>
      <c r="P17" s="121" t="s">
        <v>56</v>
      </c>
      <c r="Q17" s="121" t="s">
        <v>53</v>
      </c>
      <c r="R17" s="121" t="s">
        <v>57</v>
      </c>
      <c r="S17" s="121" t="s">
        <v>58</v>
      </c>
      <c r="T17" s="121" t="s">
        <v>59</v>
      </c>
      <c r="U17" s="121" t="s">
        <v>62</v>
      </c>
      <c r="V17" s="121" t="s">
        <v>46</v>
      </c>
      <c r="W17" s="121" t="s">
        <v>51</v>
      </c>
      <c r="X17" s="121" t="s">
        <v>61</v>
      </c>
      <c r="Y17" s="121" t="s">
        <v>60</v>
      </c>
      <c r="Z17" s="122" t="s">
        <v>63</v>
      </c>
    </row>
    <row r="18" spans="1:26" ht="15" customHeight="1" x14ac:dyDescent="0.15">
      <c r="A18" s="34"/>
      <c r="B18" s="56"/>
      <c r="C18" s="47" t="s">
        <v>160</v>
      </c>
      <c r="D18" s="48">
        <v>1.6481481481481482E-2</v>
      </c>
      <c r="E18" s="48">
        <v>1.3252314814814814E-2</v>
      </c>
      <c r="F18" s="48">
        <v>1.5613425925925926E-2</v>
      </c>
      <c r="G18" s="48">
        <v>1.3912037037037037E-2</v>
      </c>
      <c r="H18" s="48">
        <v>1.5706018518518518E-2</v>
      </c>
      <c r="I18" s="48">
        <v>1.5347222222222222E-2</v>
      </c>
      <c r="J18" s="48">
        <v>1.3449074074074073E-2</v>
      </c>
      <c r="K18" s="48">
        <v>1.4768518518518519E-2</v>
      </c>
      <c r="L18" s="48">
        <v>1.503472222222222E-2</v>
      </c>
      <c r="M18" s="48">
        <v>1.3425925925925924E-2</v>
      </c>
      <c r="N18" s="48">
        <v>0</v>
      </c>
      <c r="O18" s="48">
        <v>1.6145833333333335E-2</v>
      </c>
      <c r="P18" s="48">
        <v>1.7118055555555556E-2</v>
      </c>
      <c r="Q18" s="48">
        <v>1.744212962962963E-2</v>
      </c>
      <c r="R18" s="48">
        <v>1.8657407407407407E-2</v>
      </c>
      <c r="S18" s="48">
        <v>1.7673611111111109E-2</v>
      </c>
      <c r="T18" s="48">
        <v>1.8657407407407407E-2</v>
      </c>
      <c r="U18" s="48">
        <v>1.8738425925925926E-2</v>
      </c>
      <c r="V18" s="48">
        <v>1.545138888888889E-2</v>
      </c>
      <c r="W18" s="48">
        <v>1.6689814814814817E-2</v>
      </c>
      <c r="X18" s="48">
        <v>1.667824074074074E-2</v>
      </c>
      <c r="Y18" s="48">
        <v>1.8657407407407407E-2</v>
      </c>
      <c r="Z18" s="49">
        <v>0</v>
      </c>
    </row>
    <row r="19" spans="1:26" ht="15" customHeight="1" x14ac:dyDescent="0.15">
      <c r="A19" s="34"/>
      <c r="C19" s="41" t="s">
        <v>35</v>
      </c>
      <c r="D19" s="42">
        <v>1.6481480999999999E-2</v>
      </c>
      <c r="E19" s="42">
        <v>1.3252314777777777E-2</v>
      </c>
      <c r="F19" s="42">
        <v>1.5613425481481482E-2</v>
      </c>
      <c r="G19" s="42">
        <v>1.3912037222222222E-2</v>
      </c>
      <c r="H19" s="42">
        <v>1.5706018111111112E-2</v>
      </c>
      <c r="I19" s="42">
        <v>1.5347222259259261E-2</v>
      </c>
      <c r="J19" s="42">
        <v>1.344907437037037E-2</v>
      </c>
      <c r="K19" s="42">
        <v>1.4768518370370371E-2</v>
      </c>
      <c r="L19" s="42">
        <v>1.503472174074074E-2</v>
      </c>
      <c r="M19" s="42">
        <v>1.3425925555555555E-2</v>
      </c>
      <c r="N19" s="42" t="s">
        <v>63</v>
      </c>
      <c r="O19" s="42">
        <v>1.6145833370370372E-2</v>
      </c>
      <c r="P19" s="42">
        <v>1.711805522222222E-2</v>
      </c>
      <c r="Q19" s="42">
        <v>1.7442129703703704E-2</v>
      </c>
      <c r="R19" s="42">
        <v>1.8657407111111111E-2</v>
      </c>
      <c r="S19" s="42">
        <v>1.7673611074074072E-2</v>
      </c>
      <c r="T19" s="42">
        <v>1.8657407703703704E-2</v>
      </c>
      <c r="U19" s="42">
        <v>1.8738425629629629E-2</v>
      </c>
      <c r="V19" s="42">
        <v>1.5451388666666666E-2</v>
      </c>
      <c r="W19" s="42">
        <v>1.6689814407407407E-2</v>
      </c>
      <c r="X19" s="42">
        <v>1.6678241222222223E-2</v>
      </c>
      <c r="Y19" s="42">
        <v>1.8657407703703704E-2</v>
      </c>
      <c r="Z19" s="43" t="s">
        <v>63</v>
      </c>
    </row>
    <row r="20" spans="1:26" ht="15" customHeight="1" x14ac:dyDescent="0.15">
      <c r="A20" s="34"/>
      <c r="B20" s="56"/>
      <c r="C20" s="51" t="s">
        <v>71</v>
      </c>
      <c r="D20" s="52">
        <v>12</v>
      </c>
      <c r="E20" s="52">
        <v>1</v>
      </c>
      <c r="F20" s="52">
        <v>9</v>
      </c>
      <c r="G20" s="52">
        <v>4</v>
      </c>
      <c r="H20" s="52">
        <v>10</v>
      </c>
      <c r="I20" s="52">
        <v>7</v>
      </c>
      <c r="J20" s="52">
        <v>3</v>
      </c>
      <c r="K20" s="52">
        <v>5</v>
      </c>
      <c r="L20" s="52">
        <v>6</v>
      </c>
      <c r="M20" s="52">
        <v>2</v>
      </c>
      <c r="N20" s="52" t="s">
        <v>63</v>
      </c>
      <c r="O20" s="52">
        <v>11</v>
      </c>
      <c r="P20" s="52">
        <v>15</v>
      </c>
      <c r="Q20" s="52">
        <v>16</v>
      </c>
      <c r="R20" s="52">
        <v>18</v>
      </c>
      <c r="S20" s="52">
        <v>17</v>
      </c>
      <c r="T20" s="52">
        <v>19</v>
      </c>
      <c r="U20" s="52">
        <v>21</v>
      </c>
      <c r="V20" s="52">
        <v>8</v>
      </c>
      <c r="W20" s="52">
        <v>14</v>
      </c>
      <c r="X20" s="52">
        <v>13</v>
      </c>
      <c r="Y20" s="52">
        <v>19</v>
      </c>
      <c r="Z20" s="53" t="s">
        <v>63</v>
      </c>
    </row>
    <row r="21" spans="1:26" ht="15" customHeight="1" x14ac:dyDescent="0.15">
      <c r="A21" s="54"/>
      <c r="B21" s="55"/>
      <c r="C21" s="31" t="s">
        <v>135</v>
      </c>
      <c r="D21" s="32" t="s">
        <v>188</v>
      </c>
      <c r="E21" s="32" t="s">
        <v>189</v>
      </c>
      <c r="F21" s="32" t="s">
        <v>190</v>
      </c>
      <c r="G21" s="32" t="s">
        <v>191</v>
      </c>
      <c r="H21" s="32" t="s">
        <v>192</v>
      </c>
      <c r="I21" s="32" t="s">
        <v>193</v>
      </c>
      <c r="J21" s="32" t="s">
        <v>194</v>
      </c>
      <c r="K21" s="32" t="s">
        <v>195</v>
      </c>
      <c r="L21" s="32" t="s">
        <v>196</v>
      </c>
      <c r="M21" s="32" t="s">
        <v>197</v>
      </c>
      <c r="N21" s="32">
        <v>0</v>
      </c>
      <c r="O21" s="32" t="s">
        <v>198</v>
      </c>
      <c r="P21" s="32" t="s">
        <v>199</v>
      </c>
      <c r="Q21" s="32" t="s">
        <v>200</v>
      </c>
      <c r="R21" s="32" t="s">
        <v>201</v>
      </c>
      <c r="S21" s="32" t="s">
        <v>202</v>
      </c>
      <c r="T21" s="32" t="s">
        <v>203</v>
      </c>
      <c r="U21" s="32" t="s">
        <v>204</v>
      </c>
      <c r="V21" s="32" t="s">
        <v>205</v>
      </c>
      <c r="W21" s="32" t="s">
        <v>206</v>
      </c>
      <c r="X21" s="32" t="s">
        <v>207</v>
      </c>
      <c r="Y21" s="32" t="s">
        <v>208</v>
      </c>
      <c r="Z21" s="33">
        <v>0</v>
      </c>
    </row>
    <row r="22" spans="1:26" ht="15" customHeight="1" x14ac:dyDescent="0.15">
      <c r="A22" s="34" t="s">
        <v>209</v>
      </c>
      <c r="B22" s="56"/>
      <c r="C22" s="35" t="s">
        <v>157</v>
      </c>
      <c r="D22" s="36" t="s">
        <v>259</v>
      </c>
      <c r="E22" s="36" t="s">
        <v>525</v>
      </c>
      <c r="F22" s="36" t="s">
        <v>526</v>
      </c>
      <c r="G22" s="36" t="s">
        <v>527</v>
      </c>
      <c r="H22" s="36" t="s">
        <v>528</v>
      </c>
      <c r="I22" s="36" t="s">
        <v>529</v>
      </c>
      <c r="J22" s="36" t="s">
        <v>530</v>
      </c>
      <c r="K22" s="36" t="s">
        <v>531</v>
      </c>
      <c r="L22" s="36" t="s">
        <v>532</v>
      </c>
      <c r="M22" s="36" t="s">
        <v>533</v>
      </c>
      <c r="N22" s="36">
        <v>0</v>
      </c>
      <c r="O22" s="36" t="s">
        <v>534</v>
      </c>
      <c r="P22" s="36" t="s">
        <v>535</v>
      </c>
      <c r="Q22" s="36" t="s">
        <v>536</v>
      </c>
      <c r="R22" s="36" t="s">
        <v>537</v>
      </c>
      <c r="S22" s="36" t="s">
        <v>538</v>
      </c>
      <c r="T22" s="36" t="s">
        <v>539</v>
      </c>
      <c r="U22" s="36" t="s">
        <v>540</v>
      </c>
      <c r="V22" s="36" t="s">
        <v>541</v>
      </c>
      <c r="W22" s="36" t="s">
        <v>542</v>
      </c>
      <c r="X22" s="36" t="s">
        <v>543</v>
      </c>
      <c r="Y22" s="36" t="s">
        <v>544</v>
      </c>
      <c r="Z22" s="37">
        <v>0</v>
      </c>
    </row>
    <row r="23" spans="1:26" ht="15" customHeight="1" thickBot="1" x14ac:dyDescent="0.2">
      <c r="A23" s="34"/>
      <c r="B23" s="56"/>
      <c r="C23" s="38" t="s">
        <v>184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  <c r="Y23" s="57">
        <v>0</v>
      </c>
      <c r="Z23" s="58">
        <v>0</v>
      </c>
    </row>
    <row r="24" spans="1:26" ht="9" hidden="1" customHeight="1" x14ac:dyDescent="0.15">
      <c r="A24" s="34"/>
      <c r="B24" s="56"/>
      <c r="C24" s="38" t="s">
        <v>185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40">
        <v>0</v>
      </c>
    </row>
    <row r="25" spans="1:26" ht="15" customHeight="1" thickBot="1" x14ac:dyDescent="0.2">
      <c r="A25" s="75">
        <v>2.6</v>
      </c>
      <c r="B25" s="76" t="s">
        <v>318</v>
      </c>
      <c r="C25" s="41" t="s">
        <v>210</v>
      </c>
      <c r="D25" s="42">
        <v>9.4907410000000005E-3</v>
      </c>
      <c r="E25" s="42">
        <v>8.4722219999999997E-3</v>
      </c>
      <c r="F25" s="42">
        <v>8.1944440000000004E-3</v>
      </c>
      <c r="G25" s="42">
        <v>7.9050930000000002E-3</v>
      </c>
      <c r="H25" s="42">
        <v>9.5717590000000009E-3</v>
      </c>
      <c r="I25" s="42">
        <v>8.3680560000000005E-3</v>
      </c>
      <c r="J25" s="42">
        <v>7.6967590000000001E-3</v>
      </c>
      <c r="K25" s="42">
        <v>8.6921299999999993E-3</v>
      </c>
      <c r="L25" s="42">
        <v>8.3796300000000008E-3</v>
      </c>
      <c r="M25" s="42">
        <v>8.2754630000000003E-3</v>
      </c>
      <c r="N25" s="42">
        <v>0</v>
      </c>
      <c r="O25" s="42">
        <v>1.0034721999999999E-2</v>
      </c>
      <c r="P25" s="42">
        <v>1.1481481E-2</v>
      </c>
      <c r="Q25" s="42">
        <v>1.0520833E-2</v>
      </c>
      <c r="R25" s="42">
        <v>1.0092593E-2</v>
      </c>
      <c r="S25" s="42">
        <v>9.8032410000000007E-3</v>
      </c>
      <c r="T25" s="42">
        <v>1.005787E-2</v>
      </c>
      <c r="U25" s="42">
        <v>8.9467590000000003E-3</v>
      </c>
      <c r="V25" s="42">
        <v>8.7962960000000003E-3</v>
      </c>
      <c r="W25" s="42">
        <v>9.8148149999999993E-3</v>
      </c>
      <c r="X25" s="42">
        <v>9.0740739999999997E-3</v>
      </c>
      <c r="Y25" s="42">
        <v>1.0115740999999999E-2</v>
      </c>
      <c r="Z25" s="43">
        <v>0</v>
      </c>
    </row>
    <row r="26" spans="1:26" ht="15" customHeight="1" x14ac:dyDescent="0.15">
      <c r="A26" s="44">
        <v>16.993464052287582</v>
      </c>
      <c r="B26" s="77" t="b">
        <v>1</v>
      </c>
      <c r="C26" s="41" t="s">
        <v>211</v>
      </c>
      <c r="D26" s="121" t="s">
        <v>53</v>
      </c>
      <c r="E26" s="121" t="s">
        <v>48</v>
      </c>
      <c r="F26" s="121" t="s">
        <v>43</v>
      </c>
      <c r="G26" s="121" t="s">
        <v>42</v>
      </c>
      <c r="H26" s="121" t="s">
        <v>54</v>
      </c>
      <c r="I26" s="121" t="s">
        <v>47</v>
      </c>
      <c r="J26" s="121" t="s">
        <v>41</v>
      </c>
      <c r="K26" s="121" t="s">
        <v>52</v>
      </c>
      <c r="L26" s="121" t="s">
        <v>44</v>
      </c>
      <c r="M26" s="121" t="s">
        <v>45</v>
      </c>
      <c r="N26" s="121" t="s">
        <v>63</v>
      </c>
      <c r="O26" s="121" t="s">
        <v>56</v>
      </c>
      <c r="P26" s="121" t="s">
        <v>62</v>
      </c>
      <c r="Q26" s="121" t="s">
        <v>60</v>
      </c>
      <c r="R26" s="121" t="s">
        <v>61</v>
      </c>
      <c r="S26" s="121" t="s">
        <v>49</v>
      </c>
      <c r="T26" s="121" t="s">
        <v>59</v>
      </c>
      <c r="U26" s="121" t="s">
        <v>50</v>
      </c>
      <c r="V26" s="121" t="s">
        <v>46</v>
      </c>
      <c r="W26" s="121" t="s">
        <v>57</v>
      </c>
      <c r="X26" s="121" t="s">
        <v>51</v>
      </c>
      <c r="Y26" s="121" t="s">
        <v>58</v>
      </c>
      <c r="Z26" s="122" t="s">
        <v>63</v>
      </c>
    </row>
    <row r="27" spans="1:26" ht="15" customHeight="1" x14ac:dyDescent="0.15">
      <c r="A27" s="34"/>
      <c r="B27" s="56"/>
      <c r="C27" s="47" t="s">
        <v>160</v>
      </c>
      <c r="D27" s="48">
        <v>2.5972222222222219E-2</v>
      </c>
      <c r="E27" s="48">
        <v>2.1724537037037039E-2</v>
      </c>
      <c r="F27" s="48">
        <v>2.3807870370370368E-2</v>
      </c>
      <c r="G27" s="48">
        <v>2.1817129629629631E-2</v>
      </c>
      <c r="H27" s="48">
        <v>2.5277777777777777E-2</v>
      </c>
      <c r="I27" s="48">
        <v>2.3715277777777776E-2</v>
      </c>
      <c r="J27" s="48">
        <v>2.1145833333333332E-2</v>
      </c>
      <c r="K27" s="48">
        <v>2.3460648148148147E-2</v>
      </c>
      <c r="L27" s="48">
        <v>2.3414351851851853E-2</v>
      </c>
      <c r="M27" s="48">
        <v>2.1701388888888892E-2</v>
      </c>
      <c r="N27" s="48">
        <v>0</v>
      </c>
      <c r="O27" s="48">
        <v>2.6180555555555558E-2</v>
      </c>
      <c r="P27" s="48">
        <v>2.8599537037037034E-2</v>
      </c>
      <c r="Q27" s="48">
        <v>2.7962962962962964E-2</v>
      </c>
      <c r="R27" s="48">
        <v>2.8749999999999998E-2</v>
      </c>
      <c r="S27" s="48">
        <v>2.7476851851851853E-2</v>
      </c>
      <c r="T27" s="48">
        <v>2.8715277777777781E-2</v>
      </c>
      <c r="U27" s="48">
        <v>2.7685185185185188E-2</v>
      </c>
      <c r="V27" s="48">
        <v>2.4247685185185181E-2</v>
      </c>
      <c r="W27" s="48">
        <v>2.6504629629629628E-2</v>
      </c>
      <c r="X27" s="48">
        <v>2.5752314814814815E-2</v>
      </c>
      <c r="Y27" s="48">
        <v>2.8773148148148145E-2</v>
      </c>
      <c r="Z27" s="49">
        <v>0</v>
      </c>
    </row>
    <row r="28" spans="1:26" ht="15" customHeight="1" x14ac:dyDescent="0.15">
      <c r="A28" s="34"/>
      <c r="B28" s="56"/>
      <c r="C28" s="41" t="s">
        <v>35</v>
      </c>
      <c r="D28" s="42">
        <v>2.5972222E-2</v>
      </c>
      <c r="E28" s="42">
        <v>2.1724536777777775E-2</v>
      </c>
      <c r="F28" s="42">
        <v>2.3807869481481482E-2</v>
      </c>
      <c r="G28" s="42">
        <v>2.1817130222222224E-2</v>
      </c>
      <c r="H28" s="42">
        <v>2.5277777111111115E-2</v>
      </c>
      <c r="I28" s="42">
        <v>2.3715278259259259E-2</v>
      </c>
      <c r="J28" s="42">
        <v>2.1145833370370369E-2</v>
      </c>
      <c r="K28" s="42">
        <v>2.346064837037037E-2</v>
      </c>
      <c r="L28" s="42">
        <v>2.3414351740740739E-2</v>
      </c>
      <c r="M28" s="42">
        <v>2.1701388555555555E-2</v>
      </c>
      <c r="N28" s="42" t="s">
        <v>63</v>
      </c>
      <c r="O28" s="42">
        <v>2.6180555370370371E-2</v>
      </c>
      <c r="P28" s="42">
        <v>2.8599536222222222E-2</v>
      </c>
      <c r="Q28" s="42">
        <v>2.7962962703703704E-2</v>
      </c>
      <c r="R28" s="42">
        <v>2.8750000111111111E-2</v>
      </c>
      <c r="S28" s="42">
        <v>2.7476852074074073E-2</v>
      </c>
      <c r="T28" s="42">
        <v>2.8715277703703704E-2</v>
      </c>
      <c r="U28" s="42">
        <v>2.7685184629629628E-2</v>
      </c>
      <c r="V28" s="42">
        <v>2.4247684666666665E-2</v>
      </c>
      <c r="W28" s="42">
        <v>2.6504629407407408E-2</v>
      </c>
      <c r="X28" s="42">
        <v>2.5752315222222225E-2</v>
      </c>
      <c r="Y28" s="42">
        <v>2.8773148703703705E-2</v>
      </c>
      <c r="Z28" s="43" t="s">
        <v>63</v>
      </c>
    </row>
    <row r="29" spans="1:26" ht="15" customHeight="1" x14ac:dyDescent="0.15">
      <c r="A29" s="34"/>
      <c r="B29" s="56"/>
      <c r="C29" s="51" t="s">
        <v>71</v>
      </c>
      <c r="D29" s="52">
        <v>12</v>
      </c>
      <c r="E29" s="52">
        <v>3</v>
      </c>
      <c r="F29" s="52">
        <v>8</v>
      </c>
      <c r="G29" s="52">
        <v>4</v>
      </c>
      <c r="H29" s="52">
        <v>10</v>
      </c>
      <c r="I29" s="52">
        <v>7</v>
      </c>
      <c r="J29" s="52">
        <v>1</v>
      </c>
      <c r="K29" s="52">
        <v>6</v>
      </c>
      <c r="L29" s="52">
        <v>5</v>
      </c>
      <c r="M29" s="52">
        <v>2</v>
      </c>
      <c r="N29" s="52" t="s">
        <v>63</v>
      </c>
      <c r="O29" s="52">
        <v>13</v>
      </c>
      <c r="P29" s="52">
        <v>18</v>
      </c>
      <c r="Q29" s="52">
        <v>17</v>
      </c>
      <c r="R29" s="52">
        <v>20</v>
      </c>
      <c r="S29" s="52">
        <v>15</v>
      </c>
      <c r="T29" s="52">
        <v>19</v>
      </c>
      <c r="U29" s="52">
        <v>16</v>
      </c>
      <c r="V29" s="52">
        <v>9</v>
      </c>
      <c r="W29" s="52">
        <v>14</v>
      </c>
      <c r="X29" s="52">
        <v>11</v>
      </c>
      <c r="Y29" s="52">
        <v>21</v>
      </c>
      <c r="Z29" s="53" t="s">
        <v>63</v>
      </c>
    </row>
    <row r="30" spans="1:26" ht="15" customHeight="1" x14ac:dyDescent="0.15">
      <c r="A30" s="54"/>
      <c r="B30" s="55"/>
      <c r="C30" s="31" t="s">
        <v>135</v>
      </c>
      <c r="D30" s="32" t="s">
        <v>212</v>
      </c>
      <c r="E30" s="32" t="s">
        <v>213</v>
      </c>
      <c r="F30" s="32" t="s">
        <v>214</v>
      </c>
      <c r="G30" s="32" t="s">
        <v>215</v>
      </c>
      <c r="H30" s="32" t="s">
        <v>216</v>
      </c>
      <c r="I30" s="32" t="s">
        <v>217</v>
      </c>
      <c r="J30" s="32" t="s">
        <v>218</v>
      </c>
      <c r="K30" s="32" t="s">
        <v>219</v>
      </c>
      <c r="L30" s="32" t="s">
        <v>220</v>
      </c>
      <c r="M30" s="32" t="s">
        <v>221</v>
      </c>
      <c r="N30" s="32">
        <v>0</v>
      </c>
      <c r="O30" s="32" t="s">
        <v>222</v>
      </c>
      <c r="P30" s="32" t="s">
        <v>223</v>
      </c>
      <c r="Q30" s="32" t="s">
        <v>224</v>
      </c>
      <c r="R30" s="32" t="s">
        <v>225</v>
      </c>
      <c r="S30" s="32" t="s">
        <v>226</v>
      </c>
      <c r="T30" s="32" t="s">
        <v>227</v>
      </c>
      <c r="U30" s="32" t="s">
        <v>228</v>
      </c>
      <c r="V30" s="32" t="s">
        <v>229</v>
      </c>
      <c r="W30" s="32" t="s">
        <v>230</v>
      </c>
      <c r="X30" s="32" t="s">
        <v>231</v>
      </c>
      <c r="Y30" s="32" t="s">
        <v>232</v>
      </c>
      <c r="Z30" s="33">
        <v>0</v>
      </c>
    </row>
    <row r="31" spans="1:26" ht="15" customHeight="1" x14ac:dyDescent="0.15">
      <c r="A31" s="34" t="s">
        <v>233</v>
      </c>
      <c r="B31" s="56"/>
      <c r="C31" s="35" t="s">
        <v>157</v>
      </c>
      <c r="D31" s="36" t="s">
        <v>545</v>
      </c>
      <c r="E31" s="36" t="s">
        <v>546</v>
      </c>
      <c r="F31" s="36" t="s">
        <v>547</v>
      </c>
      <c r="G31" s="36" t="s">
        <v>548</v>
      </c>
      <c r="H31" s="36" t="s">
        <v>549</v>
      </c>
      <c r="I31" s="36" t="s">
        <v>550</v>
      </c>
      <c r="J31" s="36" t="s">
        <v>551</v>
      </c>
      <c r="K31" s="36" t="s">
        <v>552</v>
      </c>
      <c r="L31" s="36" t="s">
        <v>553</v>
      </c>
      <c r="M31" s="36" t="s">
        <v>554</v>
      </c>
      <c r="N31" s="36">
        <v>0</v>
      </c>
      <c r="O31" s="36" t="s">
        <v>555</v>
      </c>
      <c r="P31" s="36" t="s">
        <v>556</v>
      </c>
      <c r="Q31" s="36" t="s">
        <v>557</v>
      </c>
      <c r="R31" s="36" t="s">
        <v>558</v>
      </c>
      <c r="S31" s="36" t="s">
        <v>284</v>
      </c>
      <c r="T31" s="36" t="s">
        <v>559</v>
      </c>
      <c r="U31" s="36" t="s">
        <v>560</v>
      </c>
      <c r="V31" s="36" t="s">
        <v>561</v>
      </c>
      <c r="W31" s="36" t="s">
        <v>562</v>
      </c>
      <c r="X31" s="36" t="s">
        <v>563</v>
      </c>
      <c r="Y31" s="36" t="s">
        <v>564</v>
      </c>
      <c r="Z31" s="37">
        <v>0</v>
      </c>
    </row>
    <row r="32" spans="1:26" ht="15" customHeight="1" thickBot="1" x14ac:dyDescent="0.2">
      <c r="A32" s="34"/>
      <c r="B32" s="56"/>
      <c r="C32" s="38" t="s">
        <v>184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8">
        <v>0</v>
      </c>
    </row>
    <row r="33" spans="1:26" ht="9.75" hidden="1" customHeight="1" x14ac:dyDescent="0.15">
      <c r="A33" s="34"/>
      <c r="B33" s="56"/>
      <c r="C33" s="38" t="s">
        <v>185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40">
        <v>0</v>
      </c>
    </row>
    <row r="34" spans="1:26" ht="15" customHeight="1" thickBot="1" x14ac:dyDescent="0.2">
      <c r="A34" s="75">
        <v>3.1</v>
      </c>
      <c r="B34" s="76" t="s">
        <v>318</v>
      </c>
      <c r="C34" s="41" t="s">
        <v>235</v>
      </c>
      <c r="D34" s="42">
        <v>9.1666669999999999E-3</v>
      </c>
      <c r="E34" s="42">
        <v>7.2916669999999999E-3</v>
      </c>
      <c r="F34" s="42">
        <v>9.9189810000000003E-3</v>
      </c>
      <c r="G34" s="42">
        <v>8.5185190000000004E-3</v>
      </c>
      <c r="H34" s="42">
        <v>8.0671300000000005E-3</v>
      </c>
      <c r="I34" s="42">
        <v>8.7152779999999999E-3</v>
      </c>
      <c r="J34" s="42">
        <v>8.1597219999999995E-3</v>
      </c>
      <c r="K34" s="42">
        <v>8.2407409999999993E-3</v>
      </c>
      <c r="L34" s="42">
        <v>7.7430559999999999E-3</v>
      </c>
      <c r="M34" s="42">
        <v>7.8240740000000003E-3</v>
      </c>
      <c r="N34" s="42">
        <v>0</v>
      </c>
      <c r="O34" s="42">
        <v>7.7199069999999998E-3</v>
      </c>
      <c r="P34" s="42">
        <v>1.0891204E-2</v>
      </c>
      <c r="Q34" s="42">
        <v>9.4791670000000001E-3</v>
      </c>
      <c r="R34" s="42">
        <v>9.5023150000000008E-3</v>
      </c>
      <c r="S34" s="42">
        <v>8.3101849999999994E-3</v>
      </c>
      <c r="T34" s="42">
        <v>9.1203699999999992E-3</v>
      </c>
      <c r="U34" s="42">
        <v>9.1782410000000002E-3</v>
      </c>
      <c r="V34" s="42">
        <v>7.8472219999999992E-3</v>
      </c>
      <c r="W34" s="42">
        <v>9.3981480000000003E-3</v>
      </c>
      <c r="X34" s="42">
        <v>9.4560189999999995E-3</v>
      </c>
      <c r="Y34" s="42">
        <v>9.236111E-3</v>
      </c>
      <c r="Z34" s="43">
        <v>0</v>
      </c>
    </row>
    <row r="35" spans="1:26" ht="15" customHeight="1" x14ac:dyDescent="0.15">
      <c r="A35" s="44">
        <v>20.261437908496731</v>
      </c>
      <c r="B35" s="77" t="b">
        <v>1</v>
      </c>
      <c r="C35" s="41" t="s">
        <v>236</v>
      </c>
      <c r="D35" s="121" t="s">
        <v>54</v>
      </c>
      <c r="E35" s="121" t="s">
        <v>41</v>
      </c>
      <c r="F35" s="121" t="s">
        <v>60</v>
      </c>
      <c r="G35" s="121" t="s">
        <v>50</v>
      </c>
      <c r="H35" s="121" t="s">
        <v>44</v>
      </c>
      <c r="I35" s="121" t="s">
        <v>51</v>
      </c>
      <c r="J35" s="121" t="s">
        <v>48</v>
      </c>
      <c r="K35" s="121" t="s">
        <v>52</v>
      </c>
      <c r="L35" s="121" t="s">
        <v>43</v>
      </c>
      <c r="M35" s="121" t="s">
        <v>45</v>
      </c>
      <c r="N35" s="121" t="s">
        <v>63</v>
      </c>
      <c r="O35" s="121" t="s">
        <v>42</v>
      </c>
      <c r="P35" s="121" t="s">
        <v>62</v>
      </c>
      <c r="Q35" s="121" t="s">
        <v>61</v>
      </c>
      <c r="R35" s="121" t="s">
        <v>58</v>
      </c>
      <c r="S35" s="121" t="s">
        <v>46</v>
      </c>
      <c r="T35" s="121" t="s">
        <v>53</v>
      </c>
      <c r="U35" s="121" t="s">
        <v>49</v>
      </c>
      <c r="V35" s="121" t="s">
        <v>47</v>
      </c>
      <c r="W35" s="121" t="s">
        <v>56</v>
      </c>
      <c r="X35" s="121" t="s">
        <v>59</v>
      </c>
      <c r="Y35" s="121" t="s">
        <v>57</v>
      </c>
      <c r="Z35" s="122" t="s">
        <v>63</v>
      </c>
    </row>
    <row r="36" spans="1:26" ht="15" customHeight="1" x14ac:dyDescent="0.15">
      <c r="A36" s="60"/>
      <c r="B36" s="61"/>
      <c r="C36" s="47" t="s">
        <v>160</v>
      </c>
      <c r="D36" s="48">
        <v>3.5138888888888893E-2</v>
      </c>
      <c r="E36" s="48">
        <v>2.90162037037037E-2</v>
      </c>
      <c r="F36" s="48">
        <v>3.3726851851851855E-2</v>
      </c>
      <c r="G36" s="48">
        <v>3.0335648148148143E-2</v>
      </c>
      <c r="H36" s="48">
        <v>3.3344907407407406E-2</v>
      </c>
      <c r="I36" s="48">
        <v>3.243055555555556E-2</v>
      </c>
      <c r="J36" s="48">
        <v>2.9305555555555557E-2</v>
      </c>
      <c r="K36" s="48">
        <v>3.170138888888889E-2</v>
      </c>
      <c r="L36" s="48">
        <v>3.1157407407407408E-2</v>
      </c>
      <c r="M36" s="48">
        <v>2.9525462962962962E-2</v>
      </c>
      <c r="N36" s="48">
        <v>0</v>
      </c>
      <c r="O36" s="48">
        <v>3.3900462962962966E-2</v>
      </c>
      <c r="P36" s="48">
        <v>3.9490740740740743E-2</v>
      </c>
      <c r="Q36" s="48">
        <v>3.7442129629629624E-2</v>
      </c>
      <c r="R36" s="48">
        <v>3.8252314814814815E-2</v>
      </c>
      <c r="S36" s="48">
        <v>3.5787037037037034E-2</v>
      </c>
      <c r="T36" s="48">
        <v>3.7835648148148153E-2</v>
      </c>
      <c r="U36" s="48">
        <v>3.6863425925925931E-2</v>
      </c>
      <c r="V36" s="48">
        <v>3.2094907407407412E-2</v>
      </c>
      <c r="W36" s="48">
        <v>3.5902777777777777E-2</v>
      </c>
      <c r="X36" s="48">
        <v>3.5208333333333335E-2</v>
      </c>
      <c r="Y36" s="48">
        <v>3.8009259259259263E-2</v>
      </c>
      <c r="Z36" s="49">
        <v>0</v>
      </c>
    </row>
    <row r="37" spans="1:26" ht="15" customHeight="1" x14ac:dyDescent="0.15">
      <c r="A37" s="60"/>
      <c r="B37" s="61"/>
      <c r="C37" s="41" t="s">
        <v>35</v>
      </c>
      <c r="D37" s="42">
        <v>3.5138889E-2</v>
      </c>
      <c r="E37" s="42">
        <v>2.9016203777777777E-2</v>
      </c>
      <c r="F37" s="42">
        <v>3.3726850481481482E-2</v>
      </c>
      <c r="G37" s="42">
        <v>3.0335649222222226E-2</v>
      </c>
      <c r="H37" s="42">
        <v>3.3344907111111113E-2</v>
      </c>
      <c r="I37" s="42">
        <v>3.2430556259259259E-2</v>
      </c>
      <c r="J37" s="42">
        <v>2.930555537037037E-2</v>
      </c>
      <c r="K37" s="42">
        <v>3.170138937037037E-2</v>
      </c>
      <c r="L37" s="42">
        <v>3.1157407740740738E-2</v>
      </c>
      <c r="M37" s="42">
        <v>2.9525462555555555E-2</v>
      </c>
      <c r="N37" s="42" t="s">
        <v>63</v>
      </c>
      <c r="O37" s="42">
        <v>3.3900462370370373E-2</v>
      </c>
      <c r="P37" s="42">
        <v>3.9490740222222223E-2</v>
      </c>
      <c r="Q37" s="42">
        <v>3.7442129703703704E-2</v>
      </c>
      <c r="R37" s="42">
        <v>3.8252315111111115E-2</v>
      </c>
      <c r="S37" s="42">
        <v>3.5787037074074074E-2</v>
      </c>
      <c r="T37" s="42">
        <v>3.7835647703703706E-2</v>
      </c>
      <c r="U37" s="42">
        <v>3.6863425629629631E-2</v>
      </c>
      <c r="V37" s="42">
        <v>3.2094906666666666E-2</v>
      </c>
      <c r="W37" s="42">
        <v>3.590277740740741E-2</v>
      </c>
      <c r="X37" s="42">
        <v>3.5208334222222221E-2</v>
      </c>
      <c r="Y37" s="42">
        <v>3.8009259703703703E-2</v>
      </c>
      <c r="Z37" s="43" t="s">
        <v>63</v>
      </c>
    </row>
    <row r="38" spans="1:26" ht="13.5" customHeight="1" x14ac:dyDescent="0.15">
      <c r="A38" s="60"/>
      <c r="B38" s="61"/>
      <c r="C38" s="51" t="s">
        <v>71</v>
      </c>
      <c r="D38" s="52">
        <v>12</v>
      </c>
      <c r="E38" s="52">
        <v>1</v>
      </c>
      <c r="F38" s="52">
        <v>10</v>
      </c>
      <c r="G38" s="52">
        <v>4</v>
      </c>
      <c r="H38" s="52">
        <v>9</v>
      </c>
      <c r="I38" s="52">
        <v>8</v>
      </c>
      <c r="J38" s="52">
        <v>2</v>
      </c>
      <c r="K38" s="52">
        <v>6</v>
      </c>
      <c r="L38" s="52">
        <v>5</v>
      </c>
      <c r="M38" s="52">
        <v>3</v>
      </c>
      <c r="N38" s="52" t="s">
        <v>63</v>
      </c>
      <c r="O38" s="52">
        <v>11</v>
      </c>
      <c r="P38" s="52">
        <v>21</v>
      </c>
      <c r="Q38" s="52">
        <v>17</v>
      </c>
      <c r="R38" s="52">
        <v>20</v>
      </c>
      <c r="S38" s="52">
        <v>14</v>
      </c>
      <c r="T38" s="52">
        <v>18</v>
      </c>
      <c r="U38" s="52">
        <v>16</v>
      </c>
      <c r="V38" s="52">
        <v>7</v>
      </c>
      <c r="W38" s="52">
        <v>15</v>
      </c>
      <c r="X38" s="52">
        <v>13</v>
      </c>
      <c r="Y38" s="52">
        <v>19</v>
      </c>
      <c r="Z38" s="53" t="s">
        <v>63</v>
      </c>
    </row>
    <row r="39" spans="1:26" ht="15" customHeight="1" x14ac:dyDescent="0.15">
      <c r="A39" s="54"/>
      <c r="B39" s="55"/>
      <c r="C39" s="31" t="s">
        <v>135</v>
      </c>
      <c r="D39" s="32" t="s">
        <v>237</v>
      </c>
      <c r="E39" s="32" t="s">
        <v>238</v>
      </c>
      <c r="F39" s="32" t="s">
        <v>239</v>
      </c>
      <c r="G39" s="32" t="s">
        <v>240</v>
      </c>
      <c r="H39" s="32" t="s">
        <v>241</v>
      </c>
      <c r="I39" s="32" t="s">
        <v>242</v>
      </c>
      <c r="J39" s="32" t="s">
        <v>243</v>
      </c>
      <c r="K39" s="32" t="s">
        <v>244</v>
      </c>
      <c r="L39" s="32" t="s">
        <v>245</v>
      </c>
      <c r="M39" s="32" t="s">
        <v>246</v>
      </c>
      <c r="N39" s="32">
        <v>0</v>
      </c>
      <c r="O39" s="32" t="s">
        <v>247</v>
      </c>
      <c r="P39" s="32" t="s">
        <v>248</v>
      </c>
      <c r="Q39" s="32" t="s">
        <v>249</v>
      </c>
      <c r="R39" s="32" t="s">
        <v>250</v>
      </c>
      <c r="S39" s="32" t="s">
        <v>251</v>
      </c>
      <c r="T39" s="32" t="s">
        <v>252</v>
      </c>
      <c r="U39" s="32" t="s">
        <v>253</v>
      </c>
      <c r="V39" s="32" t="s">
        <v>254</v>
      </c>
      <c r="W39" s="32" t="s">
        <v>255</v>
      </c>
      <c r="X39" s="32" t="s">
        <v>256</v>
      </c>
      <c r="Y39" s="32" t="s">
        <v>257</v>
      </c>
      <c r="Z39" s="33">
        <v>0</v>
      </c>
    </row>
    <row r="40" spans="1:26" ht="15" customHeight="1" x14ac:dyDescent="0.15">
      <c r="A40" s="34" t="s">
        <v>258</v>
      </c>
      <c r="B40" s="56"/>
      <c r="C40" s="62" t="s">
        <v>157</v>
      </c>
      <c r="D40" s="36" t="s">
        <v>565</v>
      </c>
      <c r="E40" s="36" t="s">
        <v>566</v>
      </c>
      <c r="F40" s="36" t="s">
        <v>567</v>
      </c>
      <c r="G40" s="36" t="s">
        <v>568</v>
      </c>
      <c r="H40" s="36" t="s">
        <v>569</v>
      </c>
      <c r="I40" s="36" t="s">
        <v>570</v>
      </c>
      <c r="J40" s="36" t="s">
        <v>571</v>
      </c>
      <c r="K40" s="36" t="s">
        <v>572</v>
      </c>
      <c r="L40" s="36" t="s">
        <v>573</v>
      </c>
      <c r="M40" s="36" t="s">
        <v>574</v>
      </c>
      <c r="N40" s="36">
        <v>0</v>
      </c>
      <c r="O40" s="36" t="s">
        <v>575</v>
      </c>
      <c r="P40" s="36" t="s">
        <v>576</v>
      </c>
      <c r="Q40" s="36" t="s">
        <v>577</v>
      </c>
      <c r="R40" s="36" t="s">
        <v>578</v>
      </c>
      <c r="S40" s="36" t="s">
        <v>579</v>
      </c>
      <c r="T40" s="36" t="s">
        <v>384</v>
      </c>
      <c r="U40" s="36" t="s">
        <v>580</v>
      </c>
      <c r="V40" s="36" t="s">
        <v>581</v>
      </c>
      <c r="W40" s="36" t="s">
        <v>582</v>
      </c>
      <c r="X40" s="36" t="s">
        <v>583</v>
      </c>
      <c r="Y40" s="36" t="s">
        <v>584</v>
      </c>
      <c r="Z40" s="37">
        <v>0</v>
      </c>
    </row>
    <row r="41" spans="1:26" ht="13.5" customHeight="1" thickBot="1" x14ac:dyDescent="0.2">
      <c r="A41" s="34"/>
      <c r="B41" s="56"/>
      <c r="C41" s="63" t="s">
        <v>184</v>
      </c>
      <c r="D41" s="57">
        <v>3.243055555555556E-2</v>
      </c>
      <c r="E41" s="57">
        <v>0</v>
      </c>
      <c r="F41" s="57">
        <v>3.243055555555556E-2</v>
      </c>
      <c r="G41" s="57">
        <v>0</v>
      </c>
      <c r="H41" s="57">
        <v>3.243055555555556E-2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7">
        <v>3.243055555555556E-2</v>
      </c>
      <c r="P41" s="57">
        <v>3.243055555555556E-2</v>
      </c>
      <c r="Q41" s="57">
        <v>3.243055555555556E-2</v>
      </c>
      <c r="R41" s="57">
        <v>3.243055555555556E-2</v>
      </c>
      <c r="S41" s="57">
        <v>3.243055555555556E-2</v>
      </c>
      <c r="T41" s="57">
        <v>3.243055555555556E-2</v>
      </c>
      <c r="U41" s="57">
        <v>3.243055555555556E-2</v>
      </c>
      <c r="V41" s="57">
        <v>0</v>
      </c>
      <c r="W41" s="57">
        <v>3.243055555555556E-2</v>
      </c>
      <c r="X41" s="57">
        <v>3.243055555555556E-2</v>
      </c>
      <c r="Y41" s="57">
        <v>3.243055555555556E-2</v>
      </c>
      <c r="Z41" s="58">
        <v>0</v>
      </c>
    </row>
    <row r="42" spans="1:26" ht="13.5" hidden="1" customHeight="1" x14ac:dyDescent="0.15">
      <c r="A42" s="34"/>
      <c r="B42" s="56"/>
      <c r="C42" s="38" t="s">
        <v>185</v>
      </c>
      <c r="D42" s="39">
        <v>2.7083333333333334E-3</v>
      </c>
      <c r="E42" s="39">
        <v>0</v>
      </c>
      <c r="F42" s="39">
        <v>1.2962962962962954E-3</v>
      </c>
      <c r="G42" s="39">
        <v>0</v>
      </c>
      <c r="H42" s="39">
        <v>9.1435185185184675E-4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1.4699074074074059E-3</v>
      </c>
      <c r="P42" s="39">
        <v>7.0601851851851832E-3</v>
      </c>
      <c r="Q42" s="39">
        <v>5.0115740740740641E-3</v>
      </c>
      <c r="R42" s="39">
        <v>5.8217592592592557E-3</v>
      </c>
      <c r="S42" s="39">
        <v>3.3564814814814742E-3</v>
      </c>
      <c r="T42" s="39">
        <v>5.4050925925925933E-3</v>
      </c>
      <c r="U42" s="39">
        <v>4.4328703703703717E-3</v>
      </c>
      <c r="V42" s="39">
        <v>0</v>
      </c>
      <c r="W42" s="39">
        <v>3.4722222222222168E-3</v>
      </c>
      <c r="X42" s="39">
        <v>2.7777777777777748E-3</v>
      </c>
      <c r="Y42" s="39">
        <v>5.5787037037037038E-3</v>
      </c>
      <c r="Z42" s="40">
        <v>0</v>
      </c>
    </row>
    <row r="43" spans="1:26" ht="13.5" customHeight="1" thickBot="1" x14ac:dyDescent="0.2">
      <c r="A43" s="75">
        <v>2</v>
      </c>
      <c r="B43" s="76" t="s">
        <v>318</v>
      </c>
      <c r="C43" s="41" t="s">
        <v>260</v>
      </c>
      <c r="D43" s="42">
        <v>6.4120369999999998E-3</v>
      </c>
      <c r="E43" s="42">
        <v>7.4884260000000003E-3</v>
      </c>
      <c r="F43" s="42">
        <v>6.8171300000000002E-3</v>
      </c>
      <c r="G43" s="42">
        <v>7.3379630000000003E-3</v>
      </c>
      <c r="H43" s="42">
        <v>8.0439810000000004E-3</v>
      </c>
      <c r="I43" s="42">
        <v>7.6504629999999997E-3</v>
      </c>
      <c r="J43" s="42">
        <v>6.539352E-3</v>
      </c>
      <c r="K43" s="42">
        <v>7.7083330000000004E-3</v>
      </c>
      <c r="L43" s="42">
        <v>7.141204E-3</v>
      </c>
      <c r="M43" s="42">
        <v>7.1875000000000003E-3</v>
      </c>
      <c r="N43" s="42">
        <v>0</v>
      </c>
      <c r="O43" s="42">
        <v>8.3449070000000004E-3</v>
      </c>
      <c r="P43" s="42">
        <v>7.175926E-3</v>
      </c>
      <c r="Q43" s="42">
        <v>8.5069440000000007E-3</v>
      </c>
      <c r="R43" s="42">
        <v>8.9814809999999995E-3</v>
      </c>
      <c r="S43" s="42">
        <v>9.2708329999999992E-3</v>
      </c>
      <c r="T43" s="42">
        <v>9.0624999999999994E-3</v>
      </c>
      <c r="U43" s="42">
        <v>8.263889E-3</v>
      </c>
      <c r="V43" s="42">
        <v>7.2337959999999998E-3</v>
      </c>
      <c r="W43" s="42">
        <v>8.4606479999999994E-3</v>
      </c>
      <c r="X43" s="42">
        <v>8.1712959999999998E-3</v>
      </c>
      <c r="Y43" s="42">
        <v>9.6412040000000004E-3</v>
      </c>
      <c r="Z43" s="43">
        <v>0</v>
      </c>
    </row>
    <row r="44" spans="1:26" ht="15" customHeight="1" x14ac:dyDescent="0.15">
      <c r="A44" s="44">
        <v>13.071895424836603</v>
      </c>
      <c r="B44" s="77" t="b">
        <v>1</v>
      </c>
      <c r="C44" s="41" t="s">
        <v>261</v>
      </c>
      <c r="D44" s="121" t="s">
        <v>41</v>
      </c>
      <c r="E44" s="121" t="s">
        <v>46</v>
      </c>
      <c r="F44" s="121" t="s">
        <v>43</v>
      </c>
      <c r="G44" s="121" t="s">
        <v>52</v>
      </c>
      <c r="H44" s="121" t="s">
        <v>53</v>
      </c>
      <c r="I44" s="121" t="s">
        <v>50</v>
      </c>
      <c r="J44" s="121" t="s">
        <v>42</v>
      </c>
      <c r="K44" s="121" t="s">
        <v>51</v>
      </c>
      <c r="L44" s="121" t="s">
        <v>45</v>
      </c>
      <c r="M44" s="121" t="s">
        <v>44</v>
      </c>
      <c r="N44" s="121" t="s">
        <v>63</v>
      </c>
      <c r="O44" s="121" t="s">
        <v>57</v>
      </c>
      <c r="P44" s="121" t="s">
        <v>47</v>
      </c>
      <c r="Q44" s="121" t="s">
        <v>59</v>
      </c>
      <c r="R44" s="121" t="s">
        <v>61</v>
      </c>
      <c r="S44" s="121" t="s">
        <v>60</v>
      </c>
      <c r="T44" s="121" t="s">
        <v>58</v>
      </c>
      <c r="U44" s="121" t="s">
        <v>49</v>
      </c>
      <c r="V44" s="121" t="s">
        <v>48</v>
      </c>
      <c r="W44" s="121" t="s">
        <v>56</v>
      </c>
      <c r="X44" s="121" t="s">
        <v>54</v>
      </c>
      <c r="Y44" s="121" t="s">
        <v>62</v>
      </c>
      <c r="Z44" s="122" t="s">
        <v>63</v>
      </c>
    </row>
    <row r="45" spans="1:26" ht="15" customHeight="1" x14ac:dyDescent="0.15">
      <c r="A45" s="60"/>
      <c r="B45" s="61"/>
      <c r="C45" s="47" t="s">
        <v>160</v>
      </c>
      <c r="D45" s="48">
        <v>3.8842592592592588E-2</v>
      </c>
      <c r="E45" s="48">
        <v>3.650462962962963E-2</v>
      </c>
      <c r="F45" s="48">
        <v>3.9247685185185184E-2</v>
      </c>
      <c r="G45" s="48">
        <v>3.7673611111111109E-2</v>
      </c>
      <c r="H45" s="48">
        <v>4.0474537037037038E-2</v>
      </c>
      <c r="I45" s="48">
        <v>4.0081018518518523E-2</v>
      </c>
      <c r="J45" s="48">
        <v>3.5844907407407409E-2</v>
      </c>
      <c r="K45" s="48">
        <v>3.9409722222222221E-2</v>
      </c>
      <c r="L45" s="48">
        <v>3.829861111111111E-2</v>
      </c>
      <c r="M45" s="48">
        <v>3.6712962962962961E-2</v>
      </c>
      <c r="N45" s="48">
        <v>0</v>
      </c>
      <c r="O45" s="48">
        <v>4.0775462962962965E-2</v>
      </c>
      <c r="P45" s="48">
        <v>3.9606481481481479E-2</v>
      </c>
      <c r="Q45" s="48">
        <v>4.0937500000000002E-2</v>
      </c>
      <c r="R45" s="48">
        <v>4.1412037037037039E-2</v>
      </c>
      <c r="S45" s="48">
        <v>4.1701388888888885E-2</v>
      </c>
      <c r="T45" s="48">
        <v>4.1493055555555554E-2</v>
      </c>
      <c r="U45" s="48">
        <v>4.0694444444444443E-2</v>
      </c>
      <c r="V45" s="48">
        <v>3.9328703703703706E-2</v>
      </c>
      <c r="W45" s="48">
        <v>4.08912037037037E-2</v>
      </c>
      <c r="X45" s="48">
        <v>4.0601851851851854E-2</v>
      </c>
      <c r="Y45" s="48">
        <v>4.207175925925926E-2</v>
      </c>
      <c r="Z45" s="49">
        <v>0</v>
      </c>
    </row>
    <row r="46" spans="1:26" ht="18.75" customHeight="1" x14ac:dyDescent="0.15">
      <c r="A46" s="60"/>
      <c r="B46" s="61"/>
      <c r="C46" s="41" t="s">
        <v>35</v>
      </c>
      <c r="D46" s="42">
        <v>4.1550926000000002E-2</v>
      </c>
      <c r="E46" s="42">
        <v>3.6504629777777776E-2</v>
      </c>
      <c r="F46" s="42">
        <v>4.054398048148148E-2</v>
      </c>
      <c r="G46" s="42">
        <v>3.7673612222222229E-2</v>
      </c>
      <c r="H46" s="42">
        <v>4.1388888111111112E-2</v>
      </c>
      <c r="I46" s="42">
        <v>4.0081019259259262E-2</v>
      </c>
      <c r="J46" s="42">
        <v>3.5844907370370369E-2</v>
      </c>
      <c r="K46" s="42">
        <v>3.9409722370370368E-2</v>
      </c>
      <c r="L46" s="42">
        <v>3.8298611740740736E-2</v>
      </c>
      <c r="M46" s="42">
        <v>3.6712962555555555E-2</v>
      </c>
      <c r="N46" s="42" t="s">
        <v>63</v>
      </c>
      <c r="O46" s="42">
        <v>4.2245369370370371E-2</v>
      </c>
      <c r="P46" s="42">
        <v>4.6666666222222222E-2</v>
      </c>
      <c r="Q46" s="42">
        <v>4.5949073703703706E-2</v>
      </c>
      <c r="R46" s="42">
        <v>4.7233796111111115E-2</v>
      </c>
      <c r="S46" s="42">
        <v>4.5057870074074073E-2</v>
      </c>
      <c r="T46" s="42">
        <v>4.6898147703703708E-2</v>
      </c>
      <c r="U46" s="42">
        <v>4.5127314629629628E-2</v>
      </c>
      <c r="V46" s="42">
        <v>3.9328702666666666E-2</v>
      </c>
      <c r="W46" s="42">
        <v>4.4363425407407411E-2</v>
      </c>
      <c r="X46" s="42">
        <v>4.3379630222222222E-2</v>
      </c>
      <c r="Y46" s="42">
        <v>4.7650463703703703E-2</v>
      </c>
      <c r="Z46" s="43" t="s">
        <v>63</v>
      </c>
    </row>
    <row r="47" spans="1:26" ht="17.25" customHeight="1" x14ac:dyDescent="0.15">
      <c r="A47" s="64"/>
      <c r="B47" s="65"/>
      <c r="C47" s="70" t="s">
        <v>71</v>
      </c>
      <c r="D47" s="71">
        <v>11</v>
      </c>
      <c r="E47" s="71">
        <v>2</v>
      </c>
      <c r="F47" s="71">
        <v>9</v>
      </c>
      <c r="G47" s="71">
        <v>4</v>
      </c>
      <c r="H47" s="71">
        <v>10</v>
      </c>
      <c r="I47" s="71">
        <v>8</v>
      </c>
      <c r="J47" s="71">
        <v>1</v>
      </c>
      <c r="K47" s="71">
        <v>7</v>
      </c>
      <c r="L47" s="71">
        <v>5</v>
      </c>
      <c r="M47" s="71">
        <v>3</v>
      </c>
      <c r="N47" s="71" t="s">
        <v>63</v>
      </c>
      <c r="O47" s="71">
        <v>12</v>
      </c>
      <c r="P47" s="71">
        <v>18</v>
      </c>
      <c r="Q47" s="71">
        <v>17</v>
      </c>
      <c r="R47" s="71">
        <v>20</v>
      </c>
      <c r="S47" s="71">
        <v>15</v>
      </c>
      <c r="T47" s="71">
        <v>19</v>
      </c>
      <c r="U47" s="71">
        <v>16</v>
      </c>
      <c r="V47" s="71">
        <v>6</v>
      </c>
      <c r="W47" s="71">
        <v>14</v>
      </c>
      <c r="X47" s="71">
        <v>13</v>
      </c>
      <c r="Y47" s="71">
        <v>21</v>
      </c>
      <c r="Z47" s="72" t="s">
        <v>63</v>
      </c>
    </row>
    <row r="48" spans="1:26" ht="17.25" customHeight="1" x14ac:dyDescent="0.15">
      <c r="A48" s="66"/>
      <c r="B48" s="67"/>
      <c r="C48" s="78" t="s">
        <v>135</v>
      </c>
      <c r="D48" s="68" t="s">
        <v>262</v>
      </c>
      <c r="E48" s="68" t="s">
        <v>263</v>
      </c>
      <c r="F48" s="68" t="s">
        <v>264</v>
      </c>
      <c r="G48" s="68" t="s">
        <v>265</v>
      </c>
      <c r="H48" s="68" t="s">
        <v>266</v>
      </c>
      <c r="I48" s="68" t="s">
        <v>267</v>
      </c>
      <c r="J48" s="68" t="s">
        <v>268</v>
      </c>
      <c r="K48" s="68" t="s">
        <v>269</v>
      </c>
      <c r="L48" s="68" t="s">
        <v>270</v>
      </c>
      <c r="M48" s="68" t="s">
        <v>271</v>
      </c>
      <c r="N48" s="68">
        <v>0</v>
      </c>
      <c r="O48" s="68" t="s">
        <v>272</v>
      </c>
      <c r="P48" s="68" t="s">
        <v>273</v>
      </c>
      <c r="Q48" s="68" t="s">
        <v>274</v>
      </c>
      <c r="R48" s="68" t="s">
        <v>275</v>
      </c>
      <c r="S48" s="68" t="s">
        <v>276</v>
      </c>
      <c r="T48" s="68" t="s">
        <v>277</v>
      </c>
      <c r="U48" s="68" t="s">
        <v>278</v>
      </c>
      <c r="V48" s="68" t="s">
        <v>279</v>
      </c>
      <c r="W48" s="68" t="s">
        <v>280</v>
      </c>
      <c r="X48" s="68" t="s">
        <v>281</v>
      </c>
      <c r="Y48" s="68" t="s">
        <v>282</v>
      </c>
      <c r="Z48" s="69">
        <v>0</v>
      </c>
    </row>
    <row r="49" spans="1:26" ht="15" customHeight="1" x14ac:dyDescent="0.15">
      <c r="A49" s="34" t="s">
        <v>283</v>
      </c>
      <c r="B49" s="56"/>
      <c r="C49" s="35" t="s">
        <v>157</v>
      </c>
      <c r="D49" s="36" t="s">
        <v>585</v>
      </c>
      <c r="E49" s="36" t="s">
        <v>586</v>
      </c>
      <c r="F49" s="36" t="s">
        <v>587</v>
      </c>
      <c r="G49" s="36" t="s">
        <v>588</v>
      </c>
      <c r="H49" s="36" t="s">
        <v>589</v>
      </c>
      <c r="I49" s="36" t="s">
        <v>590</v>
      </c>
      <c r="J49" s="36" t="s">
        <v>591</v>
      </c>
      <c r="K49" s="36" t="s">
        <v>592</v>
      </c>
      <c r="L49" s="36" t="s">
        <v>593</v>
      </c>
      <c r="M49" s="36" t="s">
        <v>594</v>
      </c>
      <c r="N49" s="36">
        <v>0</v>
      </c>
      <c r="O49" s="36" t="s">
        <v>595</v>
      </c>
      <c r="P49" s="36" t="s">
        <v>596</v>
      </c>
      <c r="Q49" s="36" t="s">
        <v>597</v>
      </c>
      <c r="R49" s="36" t="s">
        <v>598</v>
      </c>
      <c r="S49" s="36" t="s">
        <v>599</v>
      </c>
      <c r="T49" s="36" t="s">
        <v>600</v>
      </c>
      <c r="U49" s="36" t="s">
        <v>601</v>
      </c>
      <c r="V49" s="36" t="s">
        <v>602</v>
      </c>
      <c r="W49" s="36" t="s">
        <v>603</v>
      </c>
      <c r="X49" s="36" t="s">
        <v>604</v>
      </c>
      <c r="Y49" s="36" t="s">
        <v>605</v>
      </c>
      <c r="Z49" s="37">
        <v>0</v>
      </c>
    </row>
    <row r="50" spans="1:26" ht="15" customHeight="1" thickBot="1" x14ac:dyDescent="0.2">
      <c r="A50" s="34"/>
      <c r="B50" s="56"/>
      <c r="C50" s="38" t="s">
        <v>184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57">
        <v>0</v>
      </c>
      <c r="Q50" s="57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7">
        <v>0</v>
      </c>
      <c r="Y50" s="57">
        <v>0</v>
      </c>
      <c r="Z50" s="58">
        <v>0</v>
      </c>
    </row>
    <row r="51" spans="1:26" ht="12.75" hidden="1" customHeight="1" x14ac:dyDescent="0.15">
      <c r="A51" s="34"/>
      <c r="B51" s="56"/>
      <c r="C51" s="38" t="s">
        <v>185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40">
        <v>0</v>
      </c>
    </row>
    <row r="52" spans="1:26" ht="15" customHeight="1" thickBot="1" x14ac:dyDescent="0.2">
      <c r="A52" s="75">
        <v>2.2999999999999998</v>
      </c>
      <c r="B52" s="76" t="s">
        <v>318</v>
      </c>
      <c r="C52" s="41" t="s">
        <v>285</v>
      </c>
      <c r="D52" s="42">
        <v>5.8912039999999997E-3</v>
      </c>
      <c r="E52" s="42">
        <v>5.2777780000000003E-3</v>
      </c>
      <c r="F52" s="42">
        <v>5.902778E-3</v>
      </c>
      <c r="G52" s="42">
        <v>5.8796300000000003E-3</v>
      </c>
      <c r="H52" s="42">
        <v>6.4930559999999997E-3</v>
      </c>
      <c r="I52" s="42">
        <v>6.3773149999999997E-3</v>
      </c>
      <c r="J52" s="42">
        <v>6.0416669999999997E-3</v>
      </c>
      <c r="K52" s="42">
        <v>5.5208330000000002E-3</v>
      </c>
      <c r="L52" s="42">
        <v>5.5208330000000002E-3</v>
      </c>
      <c r="M52" s="42">
        <v>5.7060189999999997E-3</v>
      </c>
      <c r="N52" s="42">
        <v>0</v>
      </c>
      <c r="O52" s="42">
        <v>6.2847220000000004E-3</v>
      </c>
      <c r="P52" s="42">
        <v>6.3425929999999997E-3</v>
      </c>
      <c r="Q52" s="42">
        <v>5.9375000000000001E-3</v>
      </c>
      <c r="R52" s="42">
        <v>7.3379630000000003E-3</v>
      </c>
      <c r="S52" s="42">
        <v>6.3657410000000003E-3</v>
      </c>
      <c r="T52" s="42">
        <v>6.4699069999999996E-3</v>
      </c>
      <c r="U52" s="42">
        <v>6.2500000000000003E-3</v>
      </c>
      <c r="V52" s="42">
        <v>6.203704E-3</v>
      </c>
      <c r="W52" s="42">
        <v>6.1458329999999999E-3</v>
      </c>
      <c r="X52" s="42">
        <v>6.018519E-3</v>
      </c>
      <c r="Y52" s="42">
        <v>6.6319439999999999E-3</v>
      </c>
      <c r="Z52" s="43">
        <v>0</v>
      </c>
    </row>
    <row r="53" spans="1:26" ht="15" customHeight="1" x14ac:dyDescent="0.15">
      <c r="A53" s="44">
        <v>15.032679738562091</v>
      </c>
      <c r="B53" s="77" t="b">
        <v>1</v>
      </c>
      <c r="C53" s="41" t="s">
        <v>286</v>
      </c>
      <c r="D53" s="121" t="s">
        <v>44</v>
      </c>
      <c r="E53" s="121" t="s">
        <v>41</v>
      </c>
      <c r="F53" s="121" t="s">
        <v>48</v>
      </c>
      <c r="G53" s="121" t="s">
        <v>47</v>
      </c>
      <c r="H53" s="121" t="s">
        <v>58</v>
      </c>
      <c r="I53" s="121" t="s">
        <v>59</v>
      </c>
      <c r="J53" s="121" t="s">
        <v>50</v>
      </c>
      <c r="K53" s="121" t="s">
        <v>610</v>
      </c>
      <c r="L53" s="121" t="s">
        <v>610</v>
      </c>
      <c r="M53" s="121" t="s">
        <v>45</v>
      </c>
      <c r="N53" s="121" t="s">
        <v>63</v>
      </c>
      <c r="O53" s="121" t="s">
        <v>49</v>
      </c>
      <c r="P53" s="121" t="s">
        <v>57</v>
      </c>
      <c r="Q53" s="121" t="s">
        <v>52</v>
      </c>
      <c r="R53" s="121" t="s">
        <v>62</v>
      </c>
      <c r="S53" s="121" t="s">
        <v>56</v>
      </c>
      <c r="T53" s="121" t="s">
        <v>61</v>
      </c>
      <c r="U53" s="121" t="s">
        <v>54</v>
      </c>
      <c r="V53" s="121" t="s">
        <v>53</v>
      </c>
      <c r="W53" s="121" t="s">
        <v>51</v>
      </c>
      <c r="X53" s="121" t="s">
        <v>46</v>
      </c>
      <c r="Y53" s="121" t="s">
        <v>60</v>
      </c>
      <c r="Z53" s="122" t="s">
        <v>63</v>
      </c>
    </row>
    <row r="54" spans="1:26" ht="15" customHeight="1" x14ac:dyDescent="0.15">
      <c r="A54" s="60"/>
      <c r="B54" s="61"/>
      <c r="C54" s="47" t="s">
        <v>160</v>
      </c>
      <c r="D54" s="48">
        <v>4.4733796296296292E-2</v>
      </c>
      <c r="E54" s="48">
        <v>4.1782407407407407E-2</v>
      </c>
      <c r="F54" s="48">
        <v>4.5150462962962962E-2</v>
      </c>
      <c r="G54" s="48">
        <v>4.355324074074074E-2</v>
      </c>
      <c r="H54" s="48">
        <v>4.6967592592592589E-2</v>
      </c>
      <c r="I54" s="48">
        <v>4.6458333333333331E-2</v>
      </c>
      <c r="J54" s="48">
        <v>4.1886574074074069E-2</v>
      </c>
      <c r="K54" s="48">
        <v>4.4930555555555557E-2</v>
      </c>
      <c r="L54" s="48">
        <v>4.3819444444444446E-2</v>
      </c>
      <c r="M54" s="48">
        <v>4.2418981481481481E-2</v>
      </c>
      <c r="N54" s="48">
        <v>0</v>
      </c>
      <c r="O54" s="48">
        <v>4.7060185185185184E-2</v>
      </c>
      <c r="P54" s="48">
        <v>4.594907407407408E-2</v>
      </c>
      <c r="Q54" s="48">
        <v>4.6875E-2</v>
      </c>
      <c r="R54" s="48">
        <v>4.8749999999999995E-2</v>
      </c>
      <c r="S54" s="48">
        <v>4.8067129629629633E-2</v>
      </c>
      <c r="T54" s="48">
        <v>4.7962962962962964E-2</v>
      </c>
      <c r="U54" s="48">
        <v>4.6944444444444448E-2</v>
      </c>
      <c r="V54" s="48">
        <v>4.553240740740741E-2</v>
      </c>
      <c r="W54" s="48">
        <v>4.7037037037037037E-2</v>
      </c>
      <c r="X54" s="48">
        <v>4.6620370370370368E-2</v>
      </c>
      <c r="Y54" s="48">
        <v>4.87037037037037E-2</v>
      </c>
      <c r="Z54" s="49">
        <v>0</v>
      </c>
    </row>
    <row r="55" spans="1:26" ht="15" customHeight="1" x14ac:dyDescent="0.15">
      <c r="A55" s="60"/>
      <c r="B55" s="61"/>
      <c r="C55" s="41" t="s">
        <v>35</v>
      </c>
      <c r="D55" s="42">
        <v>4.7442129999999999E-2</v>
      </c>
      <c r="E55" s="42">
        <v>4.178240777777778E-2</v>
      </c>
      <c r="F55" s="42">
        <v>4.6446758481481477E-2</v>
      </c>
      <c r="G55" s="42">
        <v>4.3553242222222233E-2</v>
      </c>
      <c r="H55" s="42">
        <v>4.7881944111111109E-2</v>
      </c>
      <c r="I55" s="42">
        <v>4.6458334259259264E-2</v>
      </c>
      <c r="J55" s="42">
        <v>4.1886574370370369E-2</v>
      </c>
      <c r="K55" s="42">
        <v>4.493055537037037E-2</v>
      </c>
      <c r="L55" s="42">
        <v>4.3819444740740739E-2</v>
      </c>
      <c r="M55" s="42">
        <v>4.2418981555555554E-2</v>
      </c>
      <c r="N55" s="42" t="s">
        <v>63</v>
      </c>
      <c r="O55" s="42">
        <v>4.8530091370370371E-2</v>
      </c>
      <c r="P55" s="42">
        <v>5.3009259222222223E-2</v>
      </c>
      <c r="Q55" s="42">
        <v>5.1886573703703705E-2</v>
      </c>
      <c r="R55" s="42">
        <v>5.4571759111111118E-2</v>
      </c>
      <c r="S55" s="42">
        <v>5.1423611074074074E-2</v>
      </c>
      <c r="T55" s="42">
        <v>5.3368054703703705E-2</v>
      </c>
      <c r="U55" s="42">
        <v>5.1377314629629627E-2</v>
      </c>
      <c r="V55" s="42">
        <v>4.5532406666666664E-2</v>
      </c>
      <c r="W55" s="42">
        <v>5.0509258407407415E-2</v>
      </c>
      <c r="X55" s="42">
        <v>4.9398149222222222E-2</v>
      </c>
      <c r="Y55" s="42">
        <v>5.4282407703703704E-2</v>
      </c>
      <c r="Z55" s="43" t="s">
        <v>63</v>
      </c>
    </row>
    <row r="56" spans="1:26" ht="21" customHeight="1" x14ac:dyDescent="0.15">
      <c r="A56" s="60"/>
      <c r="B56" s="61"/>
      <c r="C56" s="51" t="s">
        <v>71</v>
      </c>
      <c r="D56" s="52">
        <v>10</v>
      </c>
      <c r="E56" s="52">
        <v>1</v>
      </c>
      <c r="F56" s="52">
        <v>8</v>
      </c>
      <c r="G56" s="52">
        <v>4</v>
      </c>
      <c r="H56" s="52">
        <v>11</v>
      </c>
      <c r="I56" s="52">
        <v>9</v>
      </c>
      <c r="J56" s="52">
        <v>2</v>
      </c>
      <c r="K56" s="52">
        <v>6</v>
      </c>
      <c r="L56" s="52">
        <v>5</v>
      </c>
      <c r="M56" s="52">
        <v>3</v>
      </c>
      <c r="N56" s="52" t="s">
        <v>63</v>
      </c>
      <c r="O56" s="52">
        <v>12</v>
      </c>
      <c r="P56" s="52">
        <v>18</v>
      </c>
      <c r="Q56" s="52">
        <v>17</v>
      </c>
      <c r="R56" s="52">
        <v>21</v>
      </c>
      <c r="S56" s="52">
        <v>16</v>
      </c>
      <c r="T56" s="52">
        <v>19</v>
      </c>
      <c r="U56" s="52">
        <v>15</v>
      </c>
      <c r="V56" s="52">
        <v>7</v>
      </c>
      <c r="W56" s="52">
        <v>14</v>
      </c>
      <c r="X56" s="52">
        <v>13</v>
      </c>
      <c r="Y56" s="52">
        <v>20</v>
      </c>
      <c r="Z56" s="53" t="s">
        <v>63</v>
      </c>
    </row>
    <row r="57" spans="1:26" ht="24" hidden="1" customHeight="1" x14ac:dyDescent="0.15">
      <c r="A57" s="54"/>
      <c r="B57" s="55"/>
      <c r="C57" s="3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3"/>
    </row>
    <row r="58" spans="1:26" ht="24" hidden="1" customHeight="1" x14ac:dyDescent="0.15">
      <c r="A58" s="34"/>
      <c r="B58" s="56"/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7"/>
    </row>
    <row r="59" spans="1:26" ht="24" hidden="1" customHeight="1" x14ac:dyDescent="0.15">
      <c r="A59" s="34"/>
      <c r="B59" s="56"/>
      <c r="C59" s="38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8"/>
    </row>
    <row r="60" spans="1:26" ht="24" hidden="1" customHeight="1" x14ac:dyDescent="0.15">
      <c r="A60" s="34"/>
      <c r="B60" s="56"/>
      <c r="C60" s="38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40"/>
    </row>
    <row r="61" spans="1:26" ht="24" hidden="1" customHeight="1" thickBot="1" x14ac:dyDescent="0.2">
      <c r="A61" s="75"/>
      <c r="B61" s="76"/>
      <c r="C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3"/>
    </row>
    <row r="62" spans="1:26" ht="24" hidden="1" customHeight="1" x14ac:dyDescent="0.15">
      <c r="A62" s="44"/>
      <c r="B62" s="77"/>
      <c r="C62" s="41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/>
    </row>
    <row r="63" spans="1:26" ht="24" hidden="1" customHeight="1" x14ac:dyDescent="0.15">
      <c r="A63" s="60"/>
      <c r="B63" s="61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9"/>
    </row>
    <row r="64" spans="1:26" ht="25.5" customHeight="1" x14ac:dyDescent="0.15">
      <c r="A64" s="60"/>
      <c r="B64" s="61"/>
      <c r="C64" s="107" t="s">
        <v>287</v>
      </c>
      <c r="D64" s="108">
        <v>4.7442129999999999E-2</v>
      </c>
      <c r="E64" s="108">
        <v>4.178240777777778E-2</v>
      </c>
      <c r="F64" s="108">
        <v>4.6446758481481477E-2</v>
      </c>
      <c r="G64" s="108">
        <v>4.3553242222222233E-2</v>
      </c>
      <c r="H64" s="108">
        <v>4.7881944111111109E-2</v>
      </c>
      <c r="I64" s="108">
        <v>4.6458334259259264E-2</v>
      </c>
      <c r="J64" s="108">
        <v>4.1886574370370369E-2</v>
      </c>
      <c r="K64" s="108">
        <v>4.493055537037037E-2</v>
      </c>
      <c r="L64" s="108">
        <v>4.3819444740740739E-2</v>
      </c>
      <c r="M64" s="108">
        <v>4.2418981555555554E-2</v>
      </c>
      <c r="N64" s="108" t="s">
        <v>63</v>
      </c>
      <c r="O64" s="108">
        <v>4.8530091370370371E-2</v>
      </c>
      <c r="P64" s="108">
        <v>5.3009259222222223E-2</v>
      </c>
      <c r="Q64" s="108">
        <v>5.1886573703703705E-2</v>
      </c>
      <c r="R64" s="108">
        <v>5.4571759111111118E-2</v>
      </c>
      <c r="S64" s="108">
        <v>5.1423611074074074E-2</v>
      </c>
      <c r="T64" s="108">
        <v>5.3368054703703705E-2</v>
      </c>
      <c r="U64" s="108">
        <v>5.1377314629629627E-2</v>
      </c>
      <c r="V64" s="108">
        <v>4.5532406666666664E-2</v>
      </c>
      <c r="W64" s="108">
        <v>5.0509258407407415E-2</v>
      </c>
      <c r="X64" s="108">
        <v>4.9398149222222222E-2</v>
      </c>
      <c r="Y64" s="108">
        <v>5.4282407703703704E-2</v>
      </c>
      <c r="Z64" s="109" t="s">
        <v>63</v>
      </c>
    </row>
    <row r="65" spans="1:26" ht="23.25" customHeight="1" x14ac:dyDescent="0.15">
      <c r="A65" s="183" t="s">
        <v>288</v>
      </c>
      <c r="B65" s="184"/>
      <c r="C65" s="185"/>
      <c r="D65" s="125" t="s">
        <v>50</v>
      </c>
      <c r="E65" s="125" t="s">
        <v>41</v>
      </c>
      <c r="F65" s="125" t="s">
        <v>52</v>
      </c>
      <c r="G65" s="125" t="s">
        <v>45</v>
      </c>
      <c r="H65" s="125" t="s">
        <v>51</v>
      </c>
      <c r="I65" s="125" t="s">
        <v>46</v>
      </c>
      <c r="J65" s="125" t="s">
        <v>42</v>
      </c>
      <c r="K65" s="125" t="s">
        <v>44</v>
      </c>
      <c r="L65" s="125" t="s">
        <v>47</v>
      </c>
      <c r="M65" s="125" t="s">
        <v>43</v>
      </c>
      <c r="N65" s="125" t="s">
        <v>63</v>
      </c>
      <c r="O65" s="125" t="s">
        <v>53</v>
      </c>
      <c r="P65" s="125" t="s">
        <v>61</v>
      </c>
      <c r="Q65" s="125" t="s">
        <v>59</v>
      </c>
      <c r="R65" s="125" t="s">
        <v>62</v>
      </c>
      <c r="S65" s="125" t="s">
        <v>56</v>
      </c>
      <c r="T65" s="125" t="s">
        <v>58</v>
      </c>
      <c r="U65" s="125" t="s">
        <v>57</v>
      </c>
      <c r="V65" s="125" t="s">
        <v>48</v>
      </c>
      <c r="W65" s="125" t="s">
        <v>49</v>
      </c>
      <c r="X65" s="125" t="s">
        <v>54</v>
      </c>
      <c r="Y65" s="125" t="s">
        <v>60</v>
      </c>
      <c r="Z65" s="126" t="s">
        <v>63</v>
      </c>
    </row>
    <row r="66" spans="1:26" ht="25.5" hidden="1" customHeight="1" x14ac:dyDescent="0.15">
      <c r="A66" s="79"/>
      <c r="B66" s="80"/>
      <c r="C66" s="81"/>
      <c r="D66" s="125">
        <v>10</v>
      </c>
      <c r="E66" s="125">
        <v>1</v>
      </c>
      <c r="F66" s="125">
        <v>8</v>
      </c>
      <c r="G66" s="125">
        <v>4</v>
      </c>
      <c r="H66" s="125">
        <v>11</v>
      </c>
      <c r="I66" s="125">
        <v>9</v>
      </c>
      <c r="J66" s="125">
        <v>2</v>
      </c>
      <c r="K66" s="125">
        <v>6</v>
      </c>
      <c r="L66" s="125">
        <v>5</v>
      </c>
      <c r="M66" s="125">
        <v>3</v>
      </c>
      <c r="N66" s="125" t="s">
        <v>63</v>
      </c>
      <c r="O66" s="125">
        <v>12</v>
      </c>
      <c r="P66" s="125">
        <v>18</v>
      </c>
      <c r="Q66" s="125">
        <v>17</v>
      </c>
      <c r="R66" s="125">
        <v>21</v>
      </c>
      <c r="S66" s="125">
        <v>16</v>
      </c>
      <c r="T66" s="125">
        <v>19</v>
      </c>
      <c r="U66" s="125">
        <v>15</v>
      </c>
      <c r="V66" s="125">
        <v>7</v>
      </c>
      <c r="W66" s="125">
        <v>14</v>
      </c>
      <c r="X66" s="125">
        <v>13</v>
      </c>
      <c r="Y66" s="125">
        <v>20</v>
      </c>
      <c r="Z66" s="126" t="s">
        <v>63</v>
      </c>
    </row>
    <row r="67" spans="1:26" ht="28.5" customHeight="1" x14ac:dyDescent="0.15">
      <c r="A67" s="172" t="s">
        <v>289</v>
      </c>
      <c r="B67" s="173"/>
      <c r="C67" s="174"/>
      <c r="D67" s="127" t="s">
        <v>293</v>
      </c>
      <c r="E67" s="127" t="s">
        <v>294</v>
      </c>
      <c r="F67" s="127" t="s">
        <v>295</v>
      </c>
      <c r="G67" s="127" t="s">
        <v>606</v>
      </c>
      <c r="H67" s="127" t="s">
        <v>297</v>
      </c>
      <c r="I67" s="127" t="s">
        <v>290</v>
      </c>
      <c r="J67" s="127" t="s">
        <v>296</v>
      </c>
      <c r="K67" s="127" t="s">
        <v>607</v>
      </c>
      <c r="L67" s="127" t="s">
        <v>608</v>
      </c>
      <c r="M67" s="127" t="s">
        <v>298</v>
      </c>
      <c r="N67" s="127" t="s">
        <v>63</v>
      </c>
      <c r="O67" s="127" t="s">
        <v>306</v>
      </c>
      <c r="P67" s="127" t="s">
        <v>300</v>
      </c>
      <c r="Q67" s="127" t="s">
        <v>310</v>
      </c>
      <c r="R67" s="127" t="s">
        <v>302</v>
      </c>
      <c r="S67" s="127" t="s">
        <v>308</v>
      </c>
      <c r="T67" s="127" t="s">
        <v>305</v>
      </c>
      <c r="U67" s="127" t="s">
        <v>301</v>
      </c>
      <c r="V67" s="127" t="s">
        <v>609</v>
      </c>
      <c r="W67" s="127" t="s">
        <v>309</v>
      </c>
      <c r="X67" s="127" t="s">
        <v>304</v>
      </c>
      <c r="Y67" s="127" t="s">
        <v>303</v>
      </c>
      <c r="Z67" s="128" t="s">
        <v>63</v>
      </c>
    </row>
    <row r="68" spans="1:26" ht="23.25" customHeight="1" x14ac:dyDescent="0.15">
      <c r="A68" s="186" t="s">
        <v>311</v>
      </c>
      <c r="B68" s="187"/>
      <c r="C68" s="188"/>
      <c r="D68" s="129" t="s">
        <v>19</v>
      </c>
      <c r="E68" s="129" t="s">
        <v>11</v>
      </c>
      <c r="F68" s="129" t="s">
        <v>13</v>
      </c>
      <c r="G68" s="129" t="s">
        <v>16</v>
      </c>
      <c r="H68" s="129" t="s">
        <v>12</v>
      </c>
      <c r="I68" s="129" t="s">
        <v>17</v>
      </c>
      <c r="J68" s="129" t="s">
        <v>18</v>
      </c>
      <c r="K68" s="129" t="s">
        <v>15</v>
      </c>
      <c r="L68" s="129" t="s">
        <v>14</v>
      </c>
      <c r="M68" s="129" t="s">
        <v>10</v>
      </c>
      <c r="N68" s="129" t="s">
        <v>21</v>
      </c>
      <c r="O68" s="129" t="s">
        <v>29</v>
      </c>
      <c r="P68" s="129" t="s">
        <v>31</v>
      </c>
      <c r="Q68" s="129" t="s">
        <v>25</v>
      </c>
      <c r="R68" s="129" t="s">
        <v>24</v>
      </c>
      <c r="S68" s="129" t="s">
        <v>30</v>
      </c>
      <c r="T68" s="129" t="s">
        <v>20</v>
      </c>
      <c r="U68" s="129" t="s">
        <v>23</v>
      </c>
      <c r="V68" s="129" t="s">
        <v>32</v>
      </c>
      <c r="W68" s="129" t="s">
        <v>26</v>
      </c>
      <c r="X68" s="129" t="s">
        <v>22</v>
      </c>
      <c r="Y68" s="129" t="s">
        <v>28</v>
      </c>
      <c r="Z68" s="130" t="s">
        <v>27</v>
      </c>
    </row>
    <row r="69" spans="1:26" ht="21" hidden="1" customHeight="1" thickBot="1" x14ac:dyDescent="0.2">
      <c r="A69" s="140"/>
      <c r="B69" s="141"/>
      <c r="C69" s="142"/>
      <c r="D69" s="131">
        <v>4.7442129999999999E-2</v>
      </c>
      <c r="E69" s="131">
        <v>4.178240777777778E-2</v>
      </c>
      <c r="F69" s="131">
        <v>4.6446758481481477E-2</v>
      </c>
      <c r="G69" s="131">
        <v>4.3553242222222233E-2</v>
      </c>
      <c r="H69" s="131">
        <v>4.7881944111111109E-2</v>
      </c>
      <c r="I69" s="131">
        <v>4.6458334259259264E-2</v>
      </c>
      <c r="J69" s="131">
        <v>4.1886574370370369E-2</v>
      </c>
      <c r="K69" s="131">
        <v>4.493055537037037E-2</v>
      </c>
      <c r="L69" s="131">
        <v>4.3819444740740739E-2</v>
      </c>
      <c r="M69" s="131">
        <v>4.2418981555555554E-2</v>
      </c>
      <c r="N69" s="131" t="s">
        <v>63</v>
      </c>
      <c r="O69" s="131">
        <v>4.8530091370370371E-2</v>
      </c>
      <c r="P69" s="131">
        <v>5.3009259222222223E-2</v>
      </c>
      <c r="Q69" s="131">
        <v>5.1886573703703705E-2</v>
      </c>
      <c r="R69" s="131">
        <v>5.4571759111111118E-2</v>
      </c>
      <c r="S69" s="131">
        <v>5.1423611074074074E-2</v>
      </c>
      <c r="T69" s="131">
        <v>5.3368054703703705E-2</v>
      </c>
      <c r="U69" s="131">
        <v>5.1377314629629627E-2</v>
      </c>
      <c r="V69" s="131">
        <v>4.5532406666666664E-2</v>
      </c>
      <c r="W69" s="131">
        <v>5.0509258407407415E-2</v>
      </c>
      <c r="X69" s="131">
        <v>4.9398149222222222E-2</v>
      </c>
      <c r="Y69" s="131">
        <v>5.4282407703703704E-2</v>
      </c>
      <c r="Z69" s="132" t="s">
        <v>63</v>
      </c>
    </row>
    <row r="70" spans="1:26" ht="20.25" customHeight="1" thickBot="1" x14ac:dyDescent="0.2">
      <c r="A70" s="169" t="s">
        <v>312</v>
      </c>
      <c r="B70" s="170"/>
      <c r="C70" s="171"/>
      <c r="D70" s="133"/>
      <c r="E70" s="133"/>
      <c r="F70" s="134"/>
      <c r="G70" s="133"/>
      <c r="H70" s="133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3"/>
      <c r="V70" s="134"/>
      <c r="W70" s="134"/>
      <c r="X70" s="133"/>
      <c r="Y70" s="134"/>
      <c r="Z70" s="135"/>
    </row>
    <row r="71" spans="1:26" ht="18" customHeight="1" x14ac:dyDescent="0.15">
      <c r="D71" s="110"/>
    </row>
    <row r="72" spans="1:26" ht="17.25" customHeight="1" x14ac:dyDescent="0.15">
      <c r="I72" s="111"/>
    </row>
    <row r="74" spans="1:26" ht="13.5" customHeight="1" x14ac:dyDescent="0.15">
      <c r="D74" s="111"/>
    </row>
    <row r="75" spans="1:26" ht="12.75" customHeight="1" x14ac:dyDescent="0.15">
      <c r="J75" s="106"/>
      <c r="K75" s="106"/>
      <c r="L75" s="106"/>
      <c r="M75" s="106"/>
    </row>
    <row r="76" spans="1:26" ht="12.75" customHeight="1" x14ac:dyDescent="0.15"/>
    <row r="77" spans="1:26" ht="12.75" customHeight="1" x14ac:dyDescent="0.15"/>
    <row r="78" spans="1:26" ht="12.75" customHeight="1" x14ac:dyDescent="0.15"/>
    <row r="79" spans="1:26" ht="13.5" customHeight="1" x14ac:dyDescent="0.15"/>
    <row r="80" spans="1:26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110" spans="3:26" hidden="1" x14ac:dyDescent="0.15">
      <c r="D110" s="82" t="s">
        <v>106</v>
      </c>
      <c r="E110" s="82" t="s">
        <v>107</v>
      </c>
      <c r="F110" s="82" t="s">
        <v>108</v>
      </c>
      <c r="G110" s="82" t="s">
        <v>109</v>
      </c>
      <c r="H110" s="82" t="s">
        <v>110</v>
      </c>
      <c r="I110" s="82" t="s">
        <v>111</v>
      </c>
      <c r="J110" s="82" t="s">
        <v>112</v>
      </c>
      <c r="K110" s="82" t="s">
        <v>113</v>
      </c>
      <c r="L110" s="82" t="s">
        <v>114</v>
      </c>
      <c r="M110" s="82" t="s">
        <v>115</v>
      </c>
      <c r="N110" s="82" t="s">
        <v>116</v>
      </c>
      <c r="O110" s="82" t="s">
        <v>117</v>
      </c>
      <c r="P110" s="82" t="s">
        <v>118</v>
      </c>
      <c r="Q110" s="82" t="s">
        <v>119</v>
      </c>
      <c r="R110" s="82" t="s">
        <v>120</v>
      </c>
      <c r="S110" s="82" t="s">
        <v>121</v>
      </c>
      <c r="T110" s="82" t="s">
        <v>122</v>
      </c>
      <c r="U110" s="82" t="s">
        <v>123</v>
      </c>
      <c r="V110" s="82" t="s">
        <v>124</v>
      </c>
      <c r="W110" s="82" t="s">
        <v>125</v>
      </c>
      <c r="X110" s="82" t="s">
        <v>126</v>
      </c>
      <c r="Y110" s="82" t="s">
        <v>127</v>
      </c>
      <c r="Z110" s="83" t="s">
        <v>128</v>
      </c>
    </row>
    <row r="112" spans="3:26" x14ac:dyDescent="0.15">
      <c r="C112" s="2" t="s">
        <v>104</v>
      </c>
      <c r="D112" s="2" t="s">
        <v>45</v>
      </c>
      <c r="E112" s="2" t="s">
        <v>48</v>
      </c>
      <c r="F112" s="2" t="s">
        <v>51</v>
      </c>
      <c r="G112" s="2" t="s">
        <v>43</v>
      </c>
      <c r="H112" s="2" t="s">
        <v>47</v>
      </c>
      <c r="I112" s="2" t="s">
        <v>41</v>
      </c>
      <c r="J112" s="2" t="s">
        <v>49</v>
      </c>
      <c r="K112" s="2" t="s">
        <v>44</v>
      </c>
      <c r="L112" s="2" t="s">
        <v>53</v>
      </c>
      <c r="M112" s="2" t="s">
        <v>42</v>
      </c>
      <c r="N112" s="2" t="s">
        <v>61</v>
      </c>
      <c r="O112" s="2" t="s">
        <v>55</v>
      </c>
      <c r="P112" s="2" t="s">
        <v>50</v>
      </c>
      <c r="Q112" s="2" t="s">
        <v>62</v>
      </c>
      <c r="R112" s="2" t="s">
        <v>52</v>
      </c>
      <c r="S112" s="2" t="s">
        <v>59</v>
      </c>
      <c r="T112" s="2" t="s">
        <v>54</v>
      </c>
      <c r="U112" s="2" t="s">
        <v>57</v>
      </c>
      <c r="V112" s="2" t="s">
        <v>46</v>
      </c>
      <c r="W112" s="2" t="s">
        <v>60</v>
      </c>
      <c r="X112" s="2" t="s">
        <v>56</v>
      </c>
      <c r="Y112" s="2" t="s">
        <v>58</v>
      </c>
      <c r="Z112" s="2" t="s">
        <v>63</v>
      </c>
    </row>
    <row r="113" spans="3:26" x14ac:dyDescent="0.15">
      <c r="C113" s="112"/>
      <c r="D113" s="74" t="s">
        <v>19</v>
      </c>
      <c r="E113" s="74" t="s">
        <v>11</v>
      </c>
      <c r="F113" s="74" t="s">
        <v>13</v>
      </c>
      <c r="G113" s="74" t="s">
        <v>16</v>
      </c>
      <c r="H113" s="74" t="s">
        <v>12</v>
      </c>
      <c r="I113" s="74" t="s">
        <v>17</v>
      </c>
      <c r="J113" s="74" t="s">
        <v>18</v>
      </c>
      <c r="K113" s="74" t="s">
        <v>15</v>
      </c>
      <c r="L113" s="74" t="s">
        <v>14</v>
      </c>
      <c r="M113" s="74" t="s">
        <v>10</v>
      </c>
      <c r="N113" s="74" t="s">
        <v>21</v>
      </c>
      <c r="O113" s="74" t="s">
        <v>29</v>
      </c>
      <c r="P113" s="74" t="s">
        <v>31</v>
      </c>
      <c r="Q113" s="74" t="s">
        <v>25</v>
      </c>
      <c r="R113" s="74" t="s">
        <v>24</v>
      </c>
      <c r="S113" s="74" t="s">
        <v>30</v>
      </c>
      <c r="T113" s="74" t="s">
        <v>20</v>
      </c>
      <c r="U113" s="74" t="s">
        <v>23</v>
      </c>
      <c r="V113" s="74" t="s">
        <v>32</v>
      </c>
      <c r="W113" s="74" t="s">
        <v>26</v>
      </c>
      <c r="X113" s="74" t="s">
        <v>22</v>
      </c>
      <c r="Y113" s="74" t="s">
        <v>28</v>
      </c>
      <c r="Z113" s="74" t="s">
        <v>27</v>
      </c>
    </row>
    <row r="114" spans="3:26" x14ac:dyDescent="0.15">
      <c r="C114" s="112" t="s">
        <v>103</v>
      </c>
      <c r="D114" s="113">
        <v>7.4305555555555548E-3</v>
      </c>
      <c r="E114" s="113">
        <v>6.9560185185185185E-3</v>
      </c>
      <c r="F114" s="113">
        <v>7.4884259259259262E-3</v>
      </c>
      <c r="G114" s="113">
        <v>6.9097222222222225E-3</v>
      </c>
      <c r="H114" s="113">
        <v>7.6273148148148151E-3</v>
      </c>
      <c r="I114" s="113">
        <v>6.7708333333333336E-3</v>
      </c>
      <c r="J114" s="113">
        <v>6.4699074074074069E-3</v>
      </c>
      <c r="K114" s="113">
        <v>8.1249999999999985E-3</v>
      </c>
      <c r="L114" s="113">
        <v>7.69675925925926E-3</v>
      </c>
      <c r="M114" s="113">
        <v>6.6435185185185182E-3</v>
      </c>
      <c r="N114" s="113">
        <v>8.9004629629629625E-3</v>
      </c>
      <c r="O114" s="113">
        <v>9.2245370370370363E-3</v>
      </c>
      <c r="P114" s="113">
        <v>7.5462962962962966E-3</v>
      </c>
      <c r="Q114" s="113">
        <v>9.1435185185185178E-3</v>
      </c>
      <c r="R114" s="113">
        <v>6.3425925925925915E-3</v>
      </c>
      <c r="S114" s="113">
        <v>8.6805555555555559E-3</v>
      </c>
      <c r="T114" s="113">
        <v>8.0092592592592594E-3</v>
      </c>
      <c r="U114" s="113">
        <v>7.4074074074074068E-3</v>
      </c>
      <c r="V114" s="113">
        <v>7.7314814814814815E-3</v>
      </c>
      <c r="W114" s="113">
        <v>1.0486111111111111E-2</v>
      </c>
      <c r="X114" s="113">
        <v>8.0439814814814818E-3</v>
      </c>
      <c r="Y114" s="113">
        <v>1.0023148148148147E-2</v>
      </c>
      <c r="Z114" s="113">
        <v>0</v>
      </c>
    </row>
    <row r="115" spans="3:26" x14ac:dyDescent="0.15">
      <c r="C115" s="112" t="s">
        <v>105</v>
      </c>
      <c r="D115" s="113">
        <v>6.8518518518518538E-3</v>
      </c>
      <c r="E115" s="113">
        <v>7.0717592592592594E-3</v>
      </c>
      <c r="F115" s="113">
        <v>7.1874999999999994E-3</v>
      </c>
      <c r="G115" s="113">
        <v>6.8981481481481489E-3</v>
      </c>
      <c r="H115" s="113">
        <v>6.875E-3</v>
      </c>
      <c r="I115" s="113">
        <v>7.3495370370370346E-3</v>
      </c>
      <c r="J115" s="113">
        <v>9.2824074074074059E-3</v>
      </c>
      <c r="K115" s="113">
        <v>7.0601851851851867E-3</v>
      </c>
      <c r="L115" s="113">
        <v>7.3842592592592562E-3</v>
      </c>
      <c r="M115" s="113">
        <v>7.0717592592592594E-3</v>
      </c>
      <c r="N115" s="113">
        <v>7.7314814814814833E-3</v>
      </c>
      <c r="O115" s="113">
        <v>8.9467592592592602E-3</v>
      </c>
      <c r="P115" s="113">
        <v>8.1250000000000003E-3</v>
      </c>
      <c r="Q115" s="113">
        <v>8.4027777777777781E-3</v>
      </c>
      <c r="R115" s="113">
        <v>7.4421296296296327E-3</v>
      </c>
      <c r="S115" s="113">
        <v>8.4722222222222213E-3</v>
      </c>
      <c r="T115" s="113">
        <v>7.7430555555555534E-3</v>
      </c>
      <c r="U115" s="113">
        <v>8.9699074074074056E-3</v>
      </c>
      <c r="V115" s="113">
        <v>7.3148148148148139E-3</v>
      </c>
      <c r="W115" s="113">
        <v>8.4606481481481494E-3</v>
      </c>
      <c r="X115" s="113">
        <v>8.0208333333333312E-3</v>
      </c>
      <c r="Y115" s="113">
        <v>7.8009259259259282E-3</v>
      </c>
      <c r="Z115" s="113">
        <v>0</v>
      </c>
    </row>
    <row r="116" spans="3:26" x14ac:dyDescent="0.15">
      <c r="C116" s="112" t="s">
        <v>64</v>
      </c>
      <c r="D116" s="113">
        <v>5.844907407407408E-3</v>
      </c>
      <c r="E116" s="113">
        <v>6.3541666666666677E-3</v>
      </c>
      <c r="F116" s="113">
        <v>5.9722222222222225E-3</v>
      </c>
      <c r="G116" s="113">
        <v>5.4861111111111135E-3</v>
      </c>
      <c r="H116" s="113">
        <v>6.2268518518518515E-3</v>
      </c>
      <c r="I116" s="113">
        <v>5.5092592592592606E-3</v>
      </c>
      <c r="J116" s="113">
        <v>5.277777777777784E-3</v>
      </c>
      <c r="K116" s="113">
        <v>6.018518518518522E-3</v>
      </c>
      <c r="L116" s="113">
        <v>5.9375000000000035E-3</v>
      </c>
      <c r="M116" s="113">
        <v>6.0416666666666674E-3</v>
      </c>
      <c r="N116" s="113">
        <v>7.8935185185185219E-3</v>
      </c>
      <c r="O116" s="113">
        <v>6.8287037037037014E-3</v>
      </c>
      <c r="P116" s="113">
        <v>5.5439814814814796E-3</v>
      </c>
      <c r="Q116" s="113">
        <v>6.7361111111111129E-3</v>
      </c>
      <c r="R116" s="113">
        <v>7.3379629629629611E-3</v>
      </c>
      <c r="S116" s="113">
        <v>7.3495370370370364E-3</v>
      </c>
      <c r="T116" s="113">
        <v>6.3657407407407447E-3</v>
      </c>
      <c r="U116" s="113">
        <v>5.9953703703703731E-3</v>
      </c>
      <c r="V116" s="113">
        <v>6.2615740740740739E-3</v>
      </c>
      <c r="W116" s="113">
        <v>7.3842592592592571E-3</v>
      </c>
      <c r="X116" s="113">
        <v>7.0717592592592637E-3</v>
      </c>
      <c r="Y116" s="113">
        <v>6.7939814814814842E-3</v>
      </c>
      <c r="Z116" s="113">
        <v>0</v>
      </c>
    </row>
    <row r="117" spans="3:26" x14ac:dyDescent="0.15">
      <c r="C117" s="112" t="s">
        <v>65</v>
      </c>
      <c r="D117" s="113">
        <v>8.7615740740740744E-3</v>
      </c>
      <c r="E117" s="113">
        <v>9.2361111111111081E-3</v>
      </c>
      <c r="F117" s="113">
        <v>8.9699074074074056E-3</v>
      </c>
      <c r="G117" s="113">
        <v>9.039351851851847E-3</v>
      </c>
      <c r="H117" s="113">
        <v>8.6921296296296295E-3</v>
      </c>
      <c r="I117" s="113">
        <v>8.4490740740740741E-3</v>
      </c>
      <c r="J117" s="113">
        <v>9.4907407407407371E-3</v>
      </c>
      <c r="K117" s="113">
        <v>8.8310185185185158E-3</v>
      </c>
      <c r="L117" s="113">
        <v>9.2013888888888874E-3</v>
      </c>
      <c r="M117" s="113">
        <v>7.9166666666666656E-3</v>
      </c>
      <c r="N117" s="113">
        <v>9.9537037037036973E-3</v>
      </c>
      <c r="O117" s="113">
        <v>1.2893518518518523E-2</v>
      </c>
      <c r="P117" s="113">
        <v>9.0972222222222184E-3</v>
      </c>
      <c r="Q117" s="113">
        <v>1.1180555555555558E-2</v>
      </c>
      <c r="R117" s="113">
        <v>9.4328703703703692E-3</v>
      </c>
      <c r="S117" s="113">
        <v>9.5717592592592625E-3</v>
      </c>
      <c r="T117" s="113">
        <v>9.7106481481481488E-3</v>
      </c>
      <c r="U117" s="113">
        <v>1.038194444444444E-2</v>
      </c>
      <c r="V117" s="113">
        <v>8.5995370370370409E-3</v>
      </c>
      <c r="W117" s="113">
        <v>1.0219907407407407E-2</v>
      </c>
      <c r="X117" s="113">
        <v>9.3055555555555565E-3</v>
      </c>
      <c r="Y117" s="113">
        <v>1.05324074074074E-2</v>
      </c>
      <c r="Z117" s="113">
        <v>0</v>
      </c>
    </row>
    <row r="118" spans="3:26" x14ac:dyDescent="0.15">
      <c r="C118" s="112" t="s">
        <v>66</v>
      </c>
      <c r="D118" s="113">
        <v>5.3703703703703691E-3</v>
      </c>
      <c r="E118" s="113">
        <v>5.6365740740740751E-3</v>
      </c>
      <c r="F118" s="113">
        <v>6.3310185185185171E-3</v>
      </c>
      <c r="G118" s="113">
        <v>5.5902777777777808E-3</v>
      </c>
      <c r="H118" s="113">
        <v>5.6250000000000015E-3</v>
      </c>
      <c r="I118" s="113">
        <v>5.1851851851851885E-3</v>
      </c>
      <c r="J118" s="113">
        <v>6.4236111111111126E-3</v>
      </c>
      <c r="K118" s="113">
        <v>5.1504629629629643E-3</v>
      </c>
      <c r="L118" s="113">
        <v>5.4166666666666703E-3</v>
      </c>
      <c r="M118" s="113">
        <v>5.717592592592597E-3</v>
      </c>
      <c r="N118" s="113">
        <v>7.4189814814814847E-3</v>
      </c>
      <c r="O118" s="113">
        <v>7.0949074074074039E-3</v>
      </c>
      <c r="P118" s="113">
        <v>5.6944444444444499E-3</v>
      </c>
      <c r="Q118" s="113">
        <v>7.4189814814814709E-3</v>
      </c>
      <c r="R118" s="113">
        <v>5.3356481481481484E-3</v>
      </c>
      <c r="S118" s="113">
        <v>6.4120370370370286E-3</v>
      </c>
      <c r="T118" s="113">
        <v>5.2777777777777771E-3</v>
      </c>
      <c r="U118" s="113">
        <v>6.2152777777777779E-3</v>
      </c>
      <c r="V118" s="113">
        <v>5.7175925925925866E-3</v>
      </c>
      <c r="W118" s="113">
        <v>5.9606481481481524E-3</v>
      </c>
      <c r="X118" s="113">
        <v>6.6319444444444403E-3</v>
      </c>
      <c r="Y118" s="113">
        <v>6.7824074074074175E-3</v>
      </c>
      <c r="Z118" s="113">
        <v>0</v>
      </c>
    </row>
    <row r="119" spans="3:26" x14ac:dyDescent="0.15">
      <c r="C119" s="112" t="s">
        <v>67</v>
      </c>
      <c r="D119" s="113">
        <v>5.6597222222222188E-3</v>
      </c>
      <c r="E119" s="113">
        <v>6.319444444444447E-3</v>
      </c>
      <c r="F119" s="113">
        <v>6.5740740740740794E-3</v>
      </c>
      <c r="G119" s="113">
        <v>5.86805555555555E-3</v>
      </c>
      <c r="H119" s="113">
        <v>5.9837962962962996E-3</v>
      </c>
      <c r="I119" s="113">
        <v>6.053240740740734E-3</v>
      </c>
      <c r="J119" s="113">
        <v>6.9212962962962934E-3</v>
      </c>
      <c r="K119" s="113">
        <v>6.0879629629629617E-3</v>
      </c>
      <c r="L119" s="113">
        <v>6.9907407407407418E-3</v>
      </c>
      <c r="M119" s="113">
        <v>6.2962962962962929E-3</v>
      </c>
      <c r="N119" s="113">
        <v>5.93750000000004E-3</v>
      </c>
      <c r="O119" s="113">
        <v>6.7476851851852315E-3</v>
      </c>
      <c r="P119" s="113">
        <v>6.3888888888888884E-3</v>
      </c>
      <c r="Q119" s="113">
        <v>6.9907407407407904E-3</v>
      </c>
      <c r="R119" s="113">
        <v>6.1805555555555572E-3</v>
      </c>
      <c r="S119" s="113">
        <v>6.5509259259259739E-3</v>
      </c>
      <c r="T119" s="113">
        <v>6.2152777777777779E-3</v>
      </c>
      <c r="U119" s="113">
        <v>6.5393518518518517E-3</v>
      </c>
      <c r="V119" s="113">
        <v>6.6782407407407415E-3</v>
      </c>
      <c r="W119" s="113">
        <v>7.2222222222222687E-3</v>
      </c>
      <c r="X119" s="113">
        <v>6.4351851851851896E-3</v>
      </c>
      <c r="Y119" s="113">
        <v>6.2962962962963415E-3</v>
      </c>
      <c r="Z119" s="113">
        <v>0</v>
      </c>
    </row>
    <row r="120" spans="3:26" x14ac:dyDescent="0.15">
      <c r="C120" s="112" t="s">
        <v>68</v>
      </c>
      <c r="D120" s="113">
        <v>0</v>
      </c>
      <c r="E120" s="113">
        <v>0</v>
      </c>
      <c r="F120" s="113">
        <v>0</v>
      </c>
      <c r="G120" s="113">
        <v>0</v>
      </c>
      <c r="H120" s="113">
        <v>0</v>
      </c>
      <c r="I120" s="113">
        <v>0</v>
      </c>
      <c r="J120" s="113">
        <v>0</v>
      </c>
      <c r="K120" s="113"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  <c r="Q120" s="113">
        <v>0</v>
      </c>
      <c r="R120" s="113">
        <v>0</v>
      </c>
      <c r="S120" s="113">
        <v>0</v>
      </c>
      <c r="T120" s="113">
        <v>0</v>
      </c>
      <c r="U120" s="113">
        <v>0</v>
      </c>
      <c r="V120" s="113">
        <v>0</v>
      </c>
      <c r="W120" s="113">
        <v>0</v>
      </c>
      <c r="X120" s="113">
        <v>0</v>
      </c>
      <c r="Y120" s="113">
        <v>0</v>
      </c>
      <c r="Z120" s="113">
        <v>0</v>
      </c>
    </row>
    <row r="122" spans="3:26" x14ac:dyDescent="0.15">
      <c r="C122" s="112" t="s">
        <v>129</v>
      </c>
      <c r="D122" s="116">
        <v>23</v>
      </c>
      <c r="E122" s="116">
        <v>22</v>
      </c>
      <c r="F122" s="116">
        <v>21</v>
      </c>
      <c r="G122" s="116">
        <v>20</v>
      </c>
      <c r="H122" s="116">
        <v>19</v>
      </c>
      <c r="I122" s="116">
        <v>18</v>
      </c>
      <c r="J122" s="116">
        <v>17</v>
      </c>
      <c r="K122" s="116">
        <v>16</v>
      </c>
      <c r="L122" s="116">
        <v>15</v>
      </c>
      <c r="M122" s="116">
        <v>14</v>
      </c>
      <c r="N122" s="116">
        <v>13</v>
      </c>
      <c r="O122" s="116">
        <v>12</v>
      </c>
      <c r="P122" s="116">
        <v>11</v>
      </c>
      <c r="Q122" s="116">
        <v>10</v>
      </c>
      <c r="R122" s="116">
        <v>9</v>
      </c>
      <c r="S122" s="116">
        <v>8</v>
      </c>
      <c r="T122" s="116">
        <v>7</v>
      </c>
      <c r="U122" s="116">
        <v>6</v>
      </c>
      <c r="V122" s="116">
        <v>5</v>
      </c>
      <c r="W122" s="116">
        <v>4</v>
      </c>
      <c r="X122" s="116">
        <v>3</v>
      </c>
      <c r="Y122" s="116">
        <v>2</v>
      </c>
      <c r="Z122" s="116">
        <v>1</v>
      </c>
    </row>
    <row r="123" spans="3:26" x14ac:dyDescent="0.15">
      <c r="C123" s="117" t="s">
        <v>130</v>
      </c>
      <c r="D123" s="118">
        <v>0</v>
      </c>
      <c r="E123" s="118" t="s">
        <v>29</v>
      </c>
      <c r="F123" s="118" t="s">
        <v>25</v>
      </c>
      <c r="G123" s="118" t="s">
        <v>26</v>
      </c>
      <c r="H123" s="118" t="s">
        <v>28</v>
      </c>
      <c r="I123" s="118" t="s">
        <v>21</v>
      </c>
      <c r="J123" s="118" t="s">
        <v>30</v>
      </c>
      <c r="K123" s="118" t="s">
        <v>22</v>
      </c>
      <c r="L123" s="118" t="s">
        <v>23</v>
      </c>
      <c r="M123" s="118" t="s">
        <v>18</v>
      </c>
      <c r="N123" s="118" t="s">
        <v>20</v>
      </c>
      <c r="O123" s="118" t="s">
        <v>14</v>
      </c>
      <c r="P123" s="118" t="s">
        <v>13</v>
      </c>
      <c r="Q123" s="118" t="s">
        <v>31</v>
      </c>
      <c r="R123" s="118" t="s">
        <v>32</v>
      </c>
      <c r="S123" s="118" t="s">
        <v>24</v>
      </c>
      <c r="T123" s="118" t="s">
        <v>11</v>
      </c>
      <c r="U123" s="118" t="s">
        <v>15</v>
      </c>
      <c r="V123" s="118" t="s">
        <v>12</v>
      </c>
      <c r="W123" s="118" t="s">
        <v>19</v>
      </c>
      <c r="X123" s="118" t="s">
        <v>16</v>
      </c>
      <c r="Y123" s="118" t="s">
        <v>10</v>
      </c>
      <c r="Z123" s="118" t="s">
        <v>17</v>
      </c>
    </row>
    <row r="124" spans="3:26" x14ac:dyDescent="0.15">
      <c r="C124" s="117" t="s">
        <v>101</v>
      </c>
      <c r="D124" s="119">
        <v>0</v>
      </c>
      <c r="E124" s="119">
        <v>9.2245370370370363E-3</v>
      </c>
      <c r="F124" s="119">
        <v>9.1435185185185178E-3</v>
      </c>
      <c r="G124" s="119">
        <v>1.0486111111111111E-2</v>
      </c>
      <c r="H124" s="119">
        <v>1.0023148148148147E-2</v>
      </c>
      <c r="I124" s="119">
        <v>8.9004629629629625E-3</v>
      </c>
      <c r="J124" s="119">
        <v>8.6805555555555559E-3</v>
      </c>
      <c r="K124" s="119">
        <v>8.0439814814814818E-3</v>
      </c>
      <c r="L124" s="119">
        <v>7.4074074074074068E-3</v>
      </c>
      <c r="M124" s="119">
        <v>6.4699074074074069E-3</v>
      </c>
      <c r="N124" s="119">
        <v>8.0092592592592594E-3</v>
      </c>
      <c r="O124" s="119">
        <v>7.69675925925926E-3</v>
      </c>
      <c r="P124" s="119">
        <v>7.4884259259259262E-3</v>
      </c>
      <c r="Q124" s="119">
        <v>7.5462962962962966E-3</v>
      </c>
      <c r="R124" s="119">
        <v>7.7314814814814815E-3</v>
      </c>
      <c r="S124" s="119">
        <v>6.3425925925925915E-3</v>
      </c>
      <c r="T124" s="119">
        <v>6.9560185185185185E-3</v>
      </c>
      <c r="U124" s="119">
        <v>8.1249999999999985E-3</v>
      </c>
      <c r="V124" s="119">
        <v>7.6273148148148151E-3</v>
      </c>
      <c r="W124" s="119">
        <v>7.4305555555555548E-3</v>
      </c>
      <c r="X124" s="119">
        <v>6.9097222222222225E-3</v>
      </c>
      <c r="Y124" s="119">
        <v>6.6435185185185182E-3</v>
      </c>
      <c r="Z124" s="119">
        <v>6.7708333333333336E-3</v>
      </c>
    </row>
    <row r="125" spans="3:26" x14ac:dyDescent="0.15">
      <c r="C125" s="117" t="s">
        <v>102</v>
      </c>
      <c r="D125" s="119">
        <v>0</v>
      </c>
      <c r="E125" s="119">
        <v>8.9467592592592602E-3</v>
      </c>
      <c r="F125" s="119">
        <v>8.4027777777777781E-3</v>
      </c>
      <c r="G125" s="119">
        <v>8.4606481481481494E-3</v>
      </c>
      <c r="H125" s="119">
        <v>7.8009259259259282E-3</v>
      </c>
      <c r="I125" s="119">
        <v>7.7314814814814833E-3</v>
      </c>
      <c r="J125" s="119">
        <v>8.4722222222222213E-3</v>
      </c>
      <c r="K125" s="119">
        <v>8.0208333333333312E-3</v>
      </c>
      <c r="L125" s="119">
        <v>8.9699074074074056E-3</v>
      </c>
      <c r="M125" s="119">
        <v>9.2824074074074059E-3</v>
      </c>
      <c r="N125" s="119">
        <v>7.7430555555555534E-3</v>
      </c>
      <c r="O125" s="119">
        <v>7.3842592592592562E-3</v>
      </c>
      <c r="P125" s="119">
        <v>7.1874999999999994E-3</v>
      </c>
      <c r="Q125" s="119">
        <v>8.1250000000000003E-3</v>
      </c>
      <c r="R125" s="119">
        <v>7.3148148148148139E-3</v>
      </c>
      <c r="S125" s="119">
        <v>7.4421296296296327E-3</v>
      </c>
      <c r="T125" s="119">
        <v>7.0717592592592594E-3</v>
      </c>
      <c r="U125" s="119">
        <v>7.0601851851851867E-3</v>
      </c>
      <c r="V125" s="119">
        <v>6.875E-3</v>
      </c>
      <c r="W125" s="119">
        <v>6.8518518518518538E-3</v>
      </c>
      <c r="X125" s="119">
        <v>6.8981481481481489E-3</v>
      </c>
      <c r="Y125" s="119">
        <v>7.0717592592592594E-3</v>
      </c>
      <c r="Z125" s="119">
        <v>7.3495370370370346E-3</v>
      </c>
    </row>
    <row r="126" spans="3:26" x14ac:dyDescent="0.15">
      <c r="C126" s="117" t="s">
        <v>64</v>
      </c>
      <c r="D126" s="119">
        <v>0</v>
      </c>
      <c r="E126" s="119">
        <v>6.8287037037037014E-3</v>
      </c>
      <c r="F126" s="119">
        <v>6.7361111111111129E-3</v>
      </c>
      <c r="G126" s="119">
        <v>7.3842592592592571E-3</v>
      </c>
      <c r="H126" s="119">
        <v>6.7939814814814842E-3</v>
      </c>
      <c r="I126" s="119">
        <v>7.8935185185185219E-3</v>
      </c>
      <c r="J126" s="119">
        <v>7.3495370370370364E-3</v>
      </c>
      <c r="K126" s="119">
        <v>7.0717592592592637E-3</v>
      </c>
      <c r="L126" s="119">
        <v>5.9953703703703731E-3</v>
      </c>
      <c r="M126" s="119">
        <v>5.277777777777784E-3</v>
      </c>
      <c r="N126" s="119">
        <v>6.3657407407407447E-3</v>
      </c>
      <c r="O126" s="119">
        <v>5.9375000000000035E-3</v>
      </c>
      <c r="P126" s="119">
        <v>5.9722222222222225E-3</v>
      </c>
      <c r="Q126" s="119">
        <v>5.5439814814814796E-3</v>
      </c>
      <c r="R126" s="119">
        <v>6.2615740740740739E-3</v>
      </c>
      <c r="S126" s="119">
        <v>7.3379629629629611E-3</v>
      </c>
      <c r="T126" s="119">
        <v>6.3541666666666677E-3</v>
      </c>
      <c r="U126" s="119">
        <v>6.018518518518522E-3</v>
      </c>
      <c r="V126" s="119">
        <v>6.2268518518518515E-3</v>
      </c>
      <c r="W126" s="119">
        <v>5.844907407407408E-3</v>
      </c>
      <c r="X126" s="119">
        <v>5.4861111111111135E-3</v>
      </c>
      <c r="Y126" s="119">
        <v>6.0416666666666674E-3</v>
      </c>
      <c r="Z126" s="119">
        <v>5.5092592592592606E-3</v>
      </c>
    </row>
    <row r="127" spans="3:26" x14ac:dyDescent="0.15">
      <c r="C127" s="117" t="s">
        <v>65</v>
      </c>
      <c r="D127" s="119">
        <v>0</v>
      </c>
      <c r="E127" s="119">
        <v>1.2893518518518523E-2</v>
      </c>
      <c r="F127" s="119">
        <v>1.1180555555555558E-2</v>
      </c>
      <c r="G127" s="119">
        <v>1.0219907407407407E-2</v>
      </c>
      <c r="H127" s="119">
        <v>1.05324074074074E-2</v>
      </c>
      <c r="I127" s="119">
        <v>9.9537037037036973E-3</v>
      </c>
      <c r="J127" s="119">
        <v>9.5717592592592625E-3</v>
      </c>
      <c r="K127" s="119">
        <v>9.3055555555555565E-3</v>
      </c>
      <c r="L127" s="119">
        <v>1.038194444444444E-2</v>
      </c>
      <c r="M127" s="119">
        <v>9.4907407407407371E-3</v>
      </c>
      <c r="N127" s="119">
        <v>9.7106481481481488E-3</v>
      </c>
      <c r="O127" s="119">
        <v>9.2013888888888874E-3</v>
      </c>
      <c r="P127" s="119">
        <v>8.9699074074074056E-3</v>
      </c>
      <c r="Q127" s="119">
        <v>9.0972222222222184E-3</v>
      </c>
      <c r="R127" s="119">
        <v>8.5995370370370409E-3</v>
      </c>
      <c r="S127" s="119">
        <v>9.4328703703703692E-3</v>
      </c>
      <c r="T127" s="119">
        <v>9.2361111111111081E-3</v>
      </c>
      <c r="U127" s="119">
        <v>8.8310185185185158E-3</v>
      </c>
      <c r="V127" s="119">
        <v>8.6921296296296295E-3</v>
      </c>
      <c r="W127" s="119">
        <v>8.7615740740740744E-3</v>
      </c>
      <c r="X127" s="119">
        <v>9.039351851851847E-3</v>
      </c>
      <c r="Y127" s="119">
        <v>7.9166666666666656E-3</v>
      </c>
      <c r="Z127" s="119">
        <v>8.4490740740740741E-3</v>
      </c>
    </row>
    <row r="128" spans="3:26" x14ac:dyDescent="0.15">
      <c r="C128" s="117" t="s">
        <v>66</v>
      </c>
      <c r="D128" s="119">
        <v>0</v>
      </c>
      <c r="E128" s="119">
        <v>7.0949074074074039E-3</v>
      </c>
      <c r="F128" s="119">
        <v>7.4189814814814709E-3</v>
      </c>
      <c r="G128" s="119">
        <v>5.9606481481481524E-3</v>
      </c>
      <c r="H128" s="119">
        <v>6.7824074074074175E-3</v>
      </c>
      <c r="I128" s="119">
        <v>7.4189814814814847E-3</v>
      </c>
      <c r="J128" s="119">
        <v>6.4120370370370286E-3</v>
      </c>
      <c r="K128" s="119">
        <v>6.6319444444444403E-3</v>
      </c>
      <c r="L128" s="119">
        <v>6.2152777777777779E-3</v>
      </c>
      <c r="M128" s="119">
        <v>6.4236111111111126E-3</v>
      </c>
      <c r="N128" s="119">
        <v>5.2777777777777771E-3</v>
      </c>
      <c r="O128" s="119">
        <v>5.4166666666666703E-3</v>
      </c>
      <c r="P128" s="119">
        <v>6.3310185185185171E-3</v>
      </c>
      <c r="Q128" s="119">
        <v>5.6944444444444499E-3</v>
      </c>
      <c r="R128" s="119">
        <v>5.7175925925925866E-3</v>
      </c>
      <c r="S128" s="119">
        <v>5.3356481481481484E-3</v>
      </c>
      <c r="T128" s="119">
        <v>5.6365740740740751E-3</v>
      </c>
      <c r="U128" s="119">
        <v>5.1504629629629643E-3</v>
      </c>
      <c r="V128" s="119">
        <v>5.6250000000000015E-3</v>
      </c>
      <c r="W128" s="119">
        <v>5.3703703703703691E-3</v>
      </c>
      <c r="X128" s="119">
        <v>5.5902777777777808E-3</v>
      </c>
      <c r="Y128" s="119">
        <v>5.717592592592597E-3</v>
      </c>
      <c r="Z128" s="119">
        <v>5.1851851851851885E-3</v>
      </c>
    </row>
    <row r="129" spans="3:26" x14ac:dyDescent="0.15">
      <c r="C129" s="117" t="s">
        <v>67</v>
      </c>
      <c r="D129" s="119">
        <v>0</v>
      </c>
      <c r="E129" s="119">
        <v>6.7476851851852315E-3</v>
      </c>
      <c r="F129" s="119">
        <v>6.9907407407407904E-3</v>
      </c>
      <c r="G129" s="119">
        <v>7.2222222222222687E-3</v>
      </c>
      <c r="H129" s="119">
        <v>6.2962962962963415E-3</v>
      </c>
      <c r="I129" s="119">
        <v>5.93750000000004E-3</v>
      </c>
      <c r="J129" s="119">
        <v>6.5509259259259739E-3</v>
      </c>
      <c r="K129" s="119">
        <v>6.4351851851851896E-3</v>
      </c>
      <c r="L129" s="119">
        <v>6.5393518518518517E-3</v>
      </c>
      <c r="M129" s="119">
        <v>6.9212962962962934E-3</v>
      </c>
      <c r="N129" s="119">
        <v>6.2152777777777779E-3</v>
      </c>
      <c r="O129" s="119">
        <v>6.9907407407407418E-3</v>
      </c>
      <c r="P129" s="119">
        <v>6.5740740740740794E-3</v>
      </c>
      <c r="Q129" s="119">
        <v>6.3888888888888884E-3</v>
      </c>
      <c r="R129" s="119">
        <v>6.6782407407407415E-3</v>
      </c>
      <c r="S129" s="119">
        <v>6.1805555555555572E-3</v>
      </c>
      <c r="T129" s="119">
        <v>6.319444444444447E-3</v>
      </c>
      <c r="U129" s="119">
        <v>6.0879629629629617E-3</v>
      </c>
      <c r="V129" s="119">
        <v>5.9837962962962996E-3</v>
      </c>
      <c r="W129" s="119">
        <v>5.6597222222222188E-3</v>
      </c>
      <c r="X129" s="119">
        <v>5.86805555555555E-3</v>
      </c>
      <c r="Y129" s="119">
        <v>6.2962962962962929E-3</v>
      </c>
      <c r="Z129" s="119">
        <v>6.053240740740734E-3</v>
      </c>
    </row>
    <row r="130" spans="3:26" x14ac:dyDescent="0.15">
      <c r="C130" s="117" t="s">
        <v>68</v>
      </c>
      <c r="D130" s="119">
        <v>0</v>
      </c>
      <c r="E130" s="119">
        <v>0</v>
      </c>
      <c r="F130" s="119">
        <v>0</v>
      </c>
      <c r="G130" s="119">
        <v>0</v>
      </c>
      <c r="H130" s="119">
        <v>0</v>
      </c>
      <c r="I130" s="119">
        <v>0</v>
      </c>
      <c r="J130" s="119">
        <v>0</v>
      </c>
      <c r="K130" s="119">
        <v>0</v>
      </c>
      <c r="L130" s="119">
        <v>0</v>
      </c>
      <c r="M130" s="119">
        <v>0</v>
      </c>
      <c r="N130" s="119">
        <v>0</v>
      </c>
      <c r="O130" s="119">
        <v>0</v>
      </c>
      <c r="P130" s="119">
        <v>0</v>
      </c>
      <c r="Q130" s="119">
        <v>0</v>
      </c>
      <c r="R130" s="119">
        <v>0</v>
      </c>
      <c r="S130" s="119">
        <v>0</v>
      </c>
      <c r="T130" s="119">
        <v>0</v>
      </c>
      <c r="U130" s="119">
        <v>0</v>
      </c>
      <c r="V130" s="119">
        <v>0</v>
      </c>
      <c r="W130" s="119">
        <v>0</v>
      </c>
      <c r="X130" s="119">
        <v>0</v>
      </c>
      <c r="Y130" s="119">
        <v>0</v>
      </c>
      <c r="Z130" s="119">
        <v>0</v>
      </c>
    </row>
  </sheetData>
  <mergeCells count="7">
    <mergeCell ref="A70:C70"/>
    <mergeCell ref="A67:C67"/>
    <mergeCell ref="E1:Z1"/>
    <mergeCell ref="A2:C2"/>
    <mergeCell ref="B3:B11"/>
    <mergeCell ref="A65:C65"/>
    <mergeCell ref="A68:C68"/>
  </mergeCells>
  <phoneticPr fontId="2" type="noConversion"/>
  <conditionalFormatting sqref="B16 B25 B34 B43 B52 B61">
    <cfRule type="cellIs" dxfId="3" priority="2" stopIfTrue="1" operator="equal">
      <formula>"정상"</formula>
    </cfRule>
    <cfRule type="cellIs" dxfId="2" priority="3" stopIfTrue="1" operator="equal">
      <formula>"동시"</formula>
    </cfRule>
  </conditionalFormatting>
  <conditionalFormatting sqref="D10:Z10">
    <cfRule type="cellIs" dxfId="1" priority="4" stopIfTrue="1" operator="equal">
      <formula>"제한"</formula>
    </cfRule>
  </conditionalFormatting>
  <conditionalFormatting sqref="D7:Z7 D9:Z10 D14:Z16 D18:Z19 D23:Z25 D27:Z28 D32:Z34 D36:Z37 D41:Z43 D45:Z46 D50:Z52 D54:Z55 D64:Z64">
    <cfRule type="expression" dxfId="0" priority="1">
      <formula>D7&lt;TIME(1,0,0)</formula>
    </cfRule>
  </conditionalFormatting>
  <pageMargins left="0.75" right="0.75" top="1" bottom="1" header="0.5" footer="0.5"/>
  <pageSetup paperSize="9" scale="7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1" r:id="rId14" name="Check Box 127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2" r:id="rId15" name="Check Box 128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3" r:id="rId16" name="Check Box 129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4" r:id="rId17" name="Check Box 130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5" r:id="rId18" name="Check Box 131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6" r:id="rId19" name="Check Box 132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7" r:id="rId20" name="Check Box 13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8" r:id="rId21" name="Check Box 134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9" r:id="rId22" name="Check Box 135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0" r:id="rId23" name="Check Box 136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1" r:id="rId24" name="Check Box 137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2" r:id="rId25" name="Check Box 138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3" r:id="rId26" name="Check Box 139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4" r:id="rId27" name="Check Box 140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5" r:id="rId28" name="Check Box 141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6" r:id="rId29" name="Check Box 142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7" r:id="rId30" name="Check Box 14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8" r:id="rId31" name="Check Box 144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9" r:id="rId32" name="Check Box 145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0" r:id="rId33" name="Check Box 146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1" r:id="rId34" name="Check Box 147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2" r:id="rId35" name="Check Box 148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3" r:id="rId36" name="Check Box 149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4" r:id="rId37" name="Check Box 150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5" r:id="rId38" name="Check Box 151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6" r:id="rId39" name="Check Box 152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1</xdr:col>
                    <xdr:colOff>438150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7" r:id="rId40" name="Check Box 153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1</xdr:col>
                    <xdr:colOff>428625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8" r:id="rId41" name="Check Box 154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1</xdr:col>
                    <xdr:colOff>428625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9" r:id="rId42" name="Check Box 155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1</xdr:col>
                    <xdr:colOff>428625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0" r:id="rId43" name="Check Box 156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1</xdr:col>
                    <xdr:colOff>428625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1" r:id="rId44" name="Check Box 157">
              <controlPr defaultSize="0" autoFill="0" autoLine="0" autoPict="0" altText="선택">
                <anchor moveWithCells="1">
                  <from>
                    <xdr:col>1</xdr:col>
                    <xdr:colOff>9525</xdr:colOff>
                    <xdr:row>17</xdr:row>
                    <xdr:rowOff>152400</xdr:rowOff>
                  </from>
                  <to>
                    <xdr:col>2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2" r:id="rId45" name="Check Box 158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27</xdr:row>
                    <xdr:rowOff>9525</xdr:rowOff>
                  </from>
                  <to>
                    <xdr:col>2</xdr:col>
                    <xdr:colOff>0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3" r:id="rId46" name="Check Box 159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2</xdr:col>
                    <xdr:colOff>0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4" r:id="rId47" name="Check Box 160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2</xdr:col>
                    <xdr:colOff>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5" r:id="rId48" name="Check Box 161">
              <controlPr defaultSize="0" autoFill="0" autoLine="0" autoPict="0" altText="선택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2</xdr:col>
                    <xdr:colOff>0</xdr:colOff>
                    <xdr:row>55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6</vt:i4>
      </vt:variant>
    </vt:vector>
  </HeadingPairs>
  <TitlesOfParts>
    <vt:vector size="10" baseType="lpstr">
      <vt:lpstr>종합등위분류1</vt:lpstr>
      <vt:lpstr>도교육청요청자료1</vt:lpstr>
      <vt:lpstr>초등부</vt:lpstr>
      <vt:lpstr>중등부</vt:lpstr>
      <vt:lpstr>도교육청요청자료1!Print_Area</vt:lpstr>
      <vt:lpstr>종합등위분류1!Print_Area</vt:lpstr>
      <vt:lpstr>중등부!Print_Area</vt:lpstr>
      <vt:lpstr>초등부!Print_Area</vt:lpstr>
      <vt:lpstr>중등부!Print_Titles</vt:lpstr>
      <vt:lpstr>초등부!Print_Titles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USER</cp:lastModifiedBy>
  <cp:lastPrinted>2023-11-07T05:39:06Z</cp:lastPrinted>
  <dcterms:created xsi:type="dcterms:W3CDTF">2005-09-04T11:51:21Z</dcterms:created>
  <dcterms:modified xsi:type="dcterms:W3CDTF">2023-11-10T01:00:51Z</dcterms:modified>
</cp:coreProperties>
</file>